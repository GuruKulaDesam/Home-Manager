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25d8e7b68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lock Map" sheetId="1" r:id="Re42f783a07134052"/>
    <x:sheet xmlns:r="http://schemas.openxmlformats.org/officeDocument/2006/relationships" name="Core Home Items" sheetId="2" r:id="Rc45d5178599c4c9a"/>
    <x:sheet xmlns:r="http://schemas.openxmlformats.org/officeDocument/2006/relationships" name="7x7x7 Features" sheetId="3" r:id="R71794c91ce4a482e"/>
    <x:sheet xmlns:r="http://schemas.openxmlformats.org/officeDocument/2006/relationships" name="Stage Gates" sheetId="4" r:id="R7b0ff3f2ad7e477b"/>
  </x:sheets>
</x:workbook>
</file>

<file path=xl/comments1.xml><?xml version="1.0" encoding="utf-8"?>
<x:comments xmlns:x="http://schemas.openxmlformats.org/spreadsheetml/2006/main">
  <x:authors>
    <x:author>tc={72131B50-A16E-12CB-7D3F-384D61D0849A}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Change this value from 1 to 7 to simulate cumulative feature unlocking. Surviving and Living remain the recommended permanent core.</x:t>
        </x:r>
      </x:text>
    </x:comment>
  </x:commentList>
</x:comments>
</file>

<file path=xl/comments2.xml><?xml version="1.0" encoding="utf-8"?>
<x:comments xmlns:x="http://schemas.openxmlformats.org/spreadsheetml/2006/main">
  <x:authors>
    <x:author>tc={A23F06BC-DC05-DCE5-93EA-AC9AA7E3CDAE}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app should treat this sheet as configuration metadata. Seven reusable engines render the 343 nodes; do not build 343 unrelated screens.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20"/>
      <x:color rgb="FFFFFFFF"/>
      <x:name val="Aptos Display"/>
    </x:font>
    <x:font>
      <x:i/>
      <x:sz val="11"/>
      <x:color rgb="FF18231F"/>
      <x:name val="Carlito"/>
    </x:font>
    <x:font>
      <x:b/>
      <x:sz val="10"/>
      <x:color rgb="FFFFFFFF"/>
      <x:name val="Aptos"/>
    </x:font>
    <x:font>
      <x:b/>
      <x:sz val="11"/>
      <x:color rgb="FF143F35"/>
      <x:name val="Carlito"/>
    </x:font>
    <x:font>
      <x:b/>
      <x:sz val="13"/>
      <x:color rgb="FF143F35"/>
      <x:name val="Carlito"/>
    </x:font>
    <x:font>
      <x:b/>
      <x:sz val="10"/>
      <x:color rgb="FF18231F"/>
      <x:name val="Aptos"/>
    </x:font>
    <x:font>
      <x:b/>
      <x:sz val="9"/>
      <x:color rgb="FF18231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43F35"/>
      </x:patternFill>
    </x:fill>
    <x:fill>
      <x:patternFill patternType="solid">
        <x:fgColor rgb="FFF7EFD9"/>
      </x:patternFill>
    </x:fill>
    <x:fill>
      <x:patternFill patternType="solid">
        <x:fgColor rgb="FF2E6B57"/>
      </x:patternFill>
    </x:fill>
    <x:fill>
      <x:patternFill patternType="solid">
        <x:fgColor rgb="FFDDEBE5"/>
      </x:patternFill>
    </x:fill>
    <x:fill>
      <x:patternFill patternType="solid">
        <x:fgColor rgb="FFF4F8F6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C49A2C"/>
      </x:left>
      <x:top style="thin">
        <x:color rgb="FFC49A2C"/>
      </x:top>
      <x:bottom style="thin">
        <x:color rgb="FFC49A2C"/>
      </x:bottom>
    </x:border>
    <x:border>
      <x:top style="thin">
        <x:color rgb="FFC49A2C"/>
      </x:top>
      <x:bottom style="thin">
        <x:color rgb="FFC49A2C"/>
      </x:bottom>
    </x:border>
    <x:border>
      <x:right style="thin">
        <x:color rgb="FFC49A2C"/>
      </x:right>
      <x:top style="thin">
        <x:color rgb="FFC49A2C"/>
      </x:top>
      <x:bottom style="thin">
        <x:color rgb="FFC49A2C"/>
      </x:bottom>
    </x:border>
    <x:border>
      <x:left style="thin">
        <x:color rgb="FF143F35"/>
      </x:left>
      <x:top style="thin">
        <x:color rgb="FF143F35"/>
      </x:top>
      <x:bottom style="thin">
        <x:color rgb="FF143F35"/>
      </x:bottom>
    </x:border>
    <x:border>
      <x:right style="thin">
        <x:color rgb="FF143F35"/>
      </x:right>
      <x:top style="thin">
        <x:color rgb="FF143F35"/>
      </x:top>
      <x:bottom style="thin">
        <x:color rgb="FF143F35"/>
      </x:bottom>
    </x:border>
    <x:border>
      <x:left style="thin">
        <x:color rgb="FFC7D7D0"/>
      </x:left>
      <x:top style="thin">
        <x:color rgb="FFC7D7D0"/>
      </x:top>
    </x:border>
    <x:border>
      <x:right style="thin">
        <x:color rgb="FFC7D7D0"/>
      </x:right>
      <x:top style="thin">
        <x:color rgb="FFC7D7D0"/>
      </x:top>
    </x:border>
    <x:border>
      <x:left style="thin">
        <x:color rgb="FFC7D7D0"/>
      </x:left>
    </x:border>
    <x:border>
      <x:right style="thin">
        <x:color rgb="FFC7D7D0"/>
      </x:right>
    </x:border>
    <x:border>
      <x:left style="thin">
        <x:color rgb="FFC7D7D0"/>
      </x:left>
      <x:bottom style="thin">
        <x:color rgb="FFC7D7D0"/>
      </x:bottom>
    </x:border>
    <x:border>
      <x:right style="thin">
        <x:color rgb="FFC7D7D0"/>
      </x:right>
      <x:bottom style="thin">
        <x:color rgb="FFC7D7D0"/>
      </x:bottom>
    </x:border>
    <x:border>
      <x:top style="thin">
        <x:color rgb="FF143F35"/>
      </x:top>
      <x:bottom style="thin">
        <x:color rgb="FF143F35"/>
      </x:bottom>
    </x:border>
    <x:border>
      <x:top style="thin">
        <x:color rgb="FFC7D7D0"/>
      </x:top>
    </x:border>
    <x:border>
      <x:bottom style="thin">
        <x:color rgb="FFC7D7D0"/>
      </x:bottom>
    </x:border>
    <x:border>
      <x:top style="medium">
        <x:color rgb="FF2E6B57"/>
      </x:top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3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4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0" fontId="4" fillId="3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6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5" xfId="0" applyNumberFormat="1" applyFont="1" applyFill="1" applyBorder="1"/>
    <x:xf numFmtId="0" fontId="0" fillId="7" borderId="0" xfId="0" applyNumberFormat="1" applyFont="1" applyFill="1" applyBorder="1"/>
    <x:xf numFmtId="0" fontId="0" fillId="7" borderId="15" xfId="0" applyNumberFormat="1" applyFont="1" applyFill="1" applyBorder="1"/>
    <x:xf numFmtId="0" fontId="0" fillId="6" borderId="15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0" fillId="7" borderId="15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15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15B33"/>
      </x:font>
      <x:fill>
        <x:patternFill patternType="solid">
          <x:bgColor rgb="FFDDEFE2"/>
        </x:patternFill>
      </x:fill>
    </x:dxf>
    <x:dxf>
      <x:font>
        <x:i/>
        <x:color rgb="FF6B716E"/>
      </x:font>
      <x:fill>
        <x:patternFill patternType="solid">
          <x:bgColor rgb="FFEEF1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55fc433b3449a" /><Relationship Type="http://schemas.openxmlformats.org/officeDocument/2006/relationships/theme" Target="/xl/theme/theme1.xml" Id="R2f90357c63fb4264" /><Relationship Type="http://schemas.openxmlformats.org/officeDocument/2006/relationships/sharedStrings" Target="/xl/sharedStrings.xml" Id="Re806fb9491cc4e36" /><Relationship Type="http://schemas.openxmlformats.org/officeDocument/2006/relationships/worksheet" Target="/xl/worksheets/sheet1.xml" Id="Re42f783a07134052" /><Relationship Type="http://schemas.openxmlformats.org/officeDocument/2006/relationships/worksheet" Target="/xl/worksheets/sheet2.xml" Id="Rc45d5178599c4c9a" /><Relationship Type="http://schemas.openxmlformats.org/officeDocument/2006/relationships/worksheet" Target="/xl/worksheets/sheet3.xml" Id="R71794c91ce4a482e" /><Relationship Type="http://schemas.openxmlformats.org/officeDocument/2006/relationships/worksheet" Target="/xl/worksheets/sheet4.xml" Id="R7b0ff3f2ad7e477b" /><Relationship Type="http://schemas.microsoft.com/office/2017/10/relationships/person" Target="/xl/persons/person.xml" Id="Rac25f2b791eb4400" /></Relationships>
</file>

<file path=xl/persons/person.xml><?xml version="1.0" encoding="utf-8"?>
<xltc:personList xmlns:xltc="http://schemas.microsoft.com/office/spreadsheetml/2018/threadedcomments">
  <xltc:person displayName="Naga" id="{DE8AE6EC-F64E-4306-B46F-748FC491926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04T05:30:42.691" personId="{DE8AE6EC-F64E-4306-B46F-748FC491926A}" id="{72131B50-A16E-12CB-7D3F-384D61D0849A}">
    <xltc:text>Change this value from 1 to 7 to simulate cumulative feature unlocking. Surviving and Living remain the recommended permanent core.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4" dT="2026-08-04T05:30:42.692" personId="{DE8AE6EC-F64E-4306-B46F-748FC491926A}" id="{A23F06BC-DC05-DCE5-93EA-AC9AA7E3CDAE}">
    <xltc:text>The app should treat this sheet as configuration metadata. Seven reusable engines render the 343 nodes; do not build 343 unrelated screens.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6ca1adfc05244b3" /><Relationship Type="http://schemas.openxmlformats.org/officeDocument/2006/relationships/vmlDrawing" Target="/xl/drawings/vmldrawing.vml" Id="R041cfc404e854315" /><Relationship Type="http://schemas.microsoft.com/office/2017/10/relationships/threadedComment" Target="/xl/threadedcomments/threadedcomment.xml" Id="R4f1f67bc2fe2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d1de414aa7b74060" /><Relationship Type="http://schemas.openxmlformats.org/officeDocument/2006/relationships/vmlDrawing" Target="/xl/drawings/vmldrawing2.vml" Id="R1285ca9a00aa44a7" /><Relationship Type="http://schemas.microsoft.com/office/2017/10/relationships/threadedComment" Target="/xl/threadedcomments/threadedcomment2.xml" Id="R71035a8f68644b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1" hidden="0" customWidth="1"/>
    <x:col min="4" max="4" width="58" hidden="0" customWidth="1"/>
    <x:col min="5" max="5" width="19" hidden="0" customWidth="1"/>
    <x:col min="6" max="6" width="19" hidden="0" customWidth="1"/>
    <x:col min="7" max="7" width="40" hidden="0" customWidth="1"/>
    <x:col min="8" max="8" width="18" hidden="0" customWidth="1"/>
  </x:cols>
  <x:sheetData>
    <x:row r="1" ht="34" customHeight="1">
      <x:c r="A1" s="3" t="str">
        <x:v>FAMILY HOME MANAGER — 7 × 7 × 7 UNLOCK MODEL</x:v>
      </x:c>
      <x:c r="B1" s="3" t="str">
        <x:v>FAMILY HOME MANAGER — 7 × 7 × 7 UNLOCK MODEL</x:v>
      </x:c>
      <x:c r="C1" s="3" t="str">
        <x:v>FAMILY HOME MANAGER — 7 × 7 × 7 UNLOCK MODEL</x:v>
      </x:c>
      <x:c r="D1" s="3" t="str">
        <x:v>FAMILY HOME MANAGER — 7 × 7 × 7 UNLOCK MODEL</x:v>
      </x:c>
      <x:c r="E1" s="3" t="str">
        <x:v>FAMILY HOME MANAGER — 7 × 7 × 7 UNLOCK MODEL</x:v>
      </x:c>
      <x:c r="F1" s="3" t="str">
        <x:v>FAMILY HOME MANAGER — 7 × 7 × 7 UNLOCK MODEL</x:v>
      </x:c>
      <x:c r="G1" s="3" t="str">
        <x:v>FAMILY HOME MANAGER — 7 × 7 × 7 UNLOCK MODEL</x:v>
      </x:c>
      <x:c r="H1" s="3" t="str">
        <x:v>FAMILY HOME MANAGER — 7 × 7 × 7 UNLOCK MODEL</x:v>
      </x:c>
    </x:row>
    <x:row r="2" ht="34" customHeight="1">
      <x:c r="A2" s="3" t="str">
        <x:v>FAMILY HOME MANAGER — 7 × 7 × 7 UNLOCK MODEL</x:v>
      </x:c>
      <x:c r="B2" s="3" t="str">
        <x:v>FAMILY HOME MANAGER — 7 × 7 × 7 UNLOCK MODEL</x:v>
      </x:c>
      <x:c r="C2" s="3" t="str">
        <x:v>FAMILY HOME MANAGER — 7 × 7 × 7 UNLOCK MODEL</x:v>
      </x:c>
      <x:c r="D2" s="3" t="str">
        <x:v>FAMILY HOME MANAGER — 7 × 7 × 7 UNLOCK MODEL</x:v>
      </x:c>
      <x:c r="E2" s="3" t="str">
        <x:v>FAMILY HOME MANAGER — 7 × 7 × 7 UNLOCK MODEL</x:v>
      </x:c>
      <x:c r="F2" s="3" t="str">
        <x:v>FAMILY HOME MANAGER — 7 × 7 × 7 UNLOCK MODEL</x:v>
      </x:c>
      <x:c r="G2" s="3" t="str">
        <x:v>FAMILY HOME MANAGER — 7 × 7 × 7 UNLOCK MODEL</x:v>
      </x:c>
      <x:c r="H2" s="3" t="str">
        <x:v>FAMILY HOME MANAGER — 7 × 7 × 7 UNLOCK MODEL</x:v>
      </x:c>
    </x:row>
    <x:row r="4" ht="34" customHeight="1">
      <x:c r="A4" s="12" t="str">
        <x:v>Surviving → Living → Thinking → Expressing → Thriving → Yielding → Fulfilling. Higher stages add capability; lower-stage home-management functions never disappear.</x:v>
      </x:c>
      <x:c r="B4" s="13"/>
      <x:c r="C4" s="13"/>
      <x:c r="D4" s="13"/>
      <x:c r="E4" s="13"/>
      <x:c r="F4" s="13"/>
      <x:c r="G4" s="13"/>
      <x:c r="H4" s="14"/>
    </x:row>
    <x:row r="6" ht="28" customHeight="1">
      <x:c r="A6" s="21" t="str">
        <x:v>Control</x:v>
      </x:c>
      <x:c r="B6" s="22" t="str">
        <x:v>Value</x:v>
      </x:c>
    </x:row>
    <x:row r="7">
      <x:c r="A7" s="25" t="str">
        <x:v>Maturity stages</x:v>
      </x:c>
      <x:c r="B7" s="26" t="n">
        <x:v>7</x:v>
      </x:c>
    </x:row>
    <x:row r="8">
      <x:c r="A8" s="27" t="str">
        <x:v>Home domains</x:v>
      </x:c>
      <x:c r="B8" s="28" t="n">
        <x:v>7</x:v>
      </x:c>
    </x:row>
    <x:row r="9">
      <x:c r="A9" s="27" t="str">
        <x:v>Shared feature engines</x:v>
      </x:c>
      <x:c r="B9" s="28" t="n">
        <x:v>7</x:v>
      </x:c>
    </x:row>
    <x:row r="10">
      <x:c r="A10" s="27" t="str">
        <x:v>Total feature nodes</x:v>
      </x:c>
      <x:c r="B10" s="28" t="n">
        <x:f>$B$7*$B$8*$B$9</x:f>
        <x:v>343</x:v>
      </x:c>
    </x:row>
    <x:row r="11">
      <x:c r="A11" s="27" t="str">
        <x:v>Selected maturity stage</x:v>
      </x:c>
      <x:c r="B11" s="29" t="n">
        <x:v>2</x:v>
      </x:c>
    </x:row>
    <x:row r="12">
      <x:c r="A12" s="30" t="str">
        <x:v>Enabled feature nodes</x:v>
      </x:c>
      <x:c r="B12" s="31" t="n">
        <x:f>COUNTIF('7x7x7 Features'!$M$5:$M$347,"Enabled")</x:f>
        <x:v>98</x:v>
      </x:c>
    </x:row>
    <x:row r="15" ht="28" customHeight="1">
      <x:c r="A15" s="21" t="str">
        <x:v>Stage</x:v>
      </x:c>
      <x:c r="B15" s="34" t="str">
        <x:v>Maturity</x:v>
      </x:c>
      <x:c r="C15" s="34" t="str">
        <x:v>Household Mode</x:v>
      </x:c>
      <x:c r="D15" s="34" t="str">
        <x:v>Primary Unlock</x:v>
      </x:c>
      <x:c r="E15" s="34" t="str">
        <x:v>Product Release</x:v>
      </x:c>
      <x:c r="F15" s="34" t="str">
        <x:v>Access</x:v>
      </x:c>
      <x:c r="G15" s="22" t="str">
        <x:v>Reality Check</x:v>
      </x:c>
    </x:row>
    <x:row r="16" ht="52" customHeight="1">
      <x:c r="A16" s="65" t="n">
        <x:v>1</x:v>
      </x:c>
      <x:c r="B16" s="68" t="str">
        <x:v>Surviving</x:v>
      </x:c>
      <x:c r="C16" s="51" t="str">
        <x:v>Prevent collapse and protect life: essentials, immediate risks, minimum education, and legal identity.</x:v>
      </x:c>
      <x:c r="D16" s="51" t="str">
        <x:v>Always enabled. This is the emergency and essentials layer for every home.</x:v>
      </x:c>
      <x:c r="E16" s="51" t="str">
        <x:v>MVP Core</x:v>
      </x:c>
      <x:c r="F16" s="51" t="str">
        <x:v>Always available</x:v>
      </x:c>
      <x:c r="G16" s="52" t="str">
        <x:v>Most homes operate mainly here.</x:v>
      </x:c>
    </x:row>
    <x:row r="17" ht="52" customHeight="1">
      <x:c r="A17" s="66" t="n">
        <x:v>2</x:v>
      </x:c>
      <x:c r="B17" s="69" t="str">
        <x:v>Living</x:v>
      </x:c>
      <x:c r="C17" s="54" t="str">
        <x:v>Create a reliable, healthy, organized household with predictable routines and basic comfort.</x:v>
      </x:c>
      <x:c r="D17" s="54" t="str">
        <x:v>Always enabled with Surviving. Most standard home-management features live here.</x:v>
      </x:c>
      <x:c r="E17" s="54" t="str">
        <x:v>MVP Core</x:v>
      </x:c>
      <x:c r="F17" s="54" t="str">
        <x:v>Always available</x:v>
      </x:c>
      <x:c r="G17" s="55" t="str">
        <x:v>Most homes operate mainly here.</x:v>
      </x:c>
    </x:row>
    <x:row r="18" ht="52" customHeight="1">
      <x:c r="A18" s="66" t="n">
        <x:v>3</x:v>
      </x:c>
      <x:c r="B18" s="69" t="str">
        <x:v>Thinking</x:v>
      </x:c>
      <x:c r="C18" s="54" t="str">
        <x:v>Become intentional: understand patterns and allow children to develop naturally rather than forcing one template.</x:v>
      </x:c>
      <x:c r="D18" s="54" t="str">
        <x:v>Unlock when Surviving and Living essentials are stable, current, and not repeatedly in crisis.</x:v>
      </x:c>
      <x:c r="E18" s="54" t="str">
        <x:v>Growth Pack</x:v>
      </x:c>
      <x:c r="F18" s="54" t="str">
        <x:v>Unlocked at stage 3</x:v>
      </x:c>
      <x:c r="G18" s="55" t="str">
        <x:v>Requires stable lower layers; it is not a status badge.</x:v>
      </x:c>
    </x:row>
    <x:row r="19" ht="52" customHeight="1">
      <x:c r="A19" s="66" t="n">
        <x:v>4</x:v>
      </x:c>
      <x:c r="B19" s="69" t="str">
        <x:v>Expressing</x:v>
      </x:c>
      <x:c r="C19" s="54" t="str">
        <x:v>Participate visibly in society and community through creativity, service, culture, collaboration, and citizenship.</x:v>
      </x:c>
      <x:c r="D19" s="54" t="str">
        <x:v>Unlock when the home has reflective capacity, healthy autonomy, and spare time for outward participation.</x:v>
      </x:c>
      <x:c r="E19" s="54" t="str">
        <x:v>Community Pack</x:v>
      </x:c>
      <x:c r="F19" s="54" t="str">
        <x:v>Unlocked at stage 4</x:v>
      </x:c>
      <x:c r="G19" s="55" t="str">
        <x:v>Requires stable lower layers; it is not a status badge.</x:v>
      </x:c>
    </x:row>
    <x:row r="20" ht="52" customHeight="1">
      <x:c r="A20" s="66" t="n">
        <x:v>5</x:v>
      </x:c>
      <x:c r="B20" s="69" t="str">
        <x:v>Thriving</x:v>
      </x:c>
      <x:c r="C20" s="54" t="str">
        <x:v>Create surplus capability and lead sustained efforts for causes larger than the household.</x:v>
      </x:c>
      <x:c r="D20" s="54" t="str">
        <x:v>Unlock when community participation is sustained and the home has surplus health, money, time, skills, and trust.</x:v>
      </x:c>
      <x:c r="E20" s="54" t="str">
        <x:v>Leadership Pack</x:v>
      </x:c>
      <x:c r="F20" s="54" t="str">
        <x:v>Unlocked at stage 5</x:v>
      </x:c>
      <x:c r="G20" s="55" t="str">
        <x:v>Requires stable lower layers; it is not a status badge.</x:v>
      </x:c>
    </x:row>
    <x:row r="21" ht="52" customHeight="1">
      <x:c r="A21" s="66" t="n">
        <x:v>6</x:v>
      </x:c>
      <x:c r="B21" s="69" t="str">
        <x:v>Yielding</x:v>
      </x:c>
      <x:c r="C21" s="54" t="str">
        <x:v>Generate multigenerational returns: grandchildren, health, wealth, wisdom, care capacity, and family renewal.</x:v>
      </x:c>
      <x:c r="D21" s="54" t="str">
        <x:v>Unlock when Thriving is durable and the next generation freely chooses multigenerational participation.</x:v>
      </x:c>
      <x:c r="E21" s="54" t="str">
        <x:v>Generational Pack</x:v>
      </x:c>
      <x:c r="F21" s="54" t="str">
        <x:v>Unlocked at stage 6</x:v>
      </x:c>
      <x:c r="G21" s="55" t="str">
        <x:v>Requires stable lower layers; it is not a status badge.</x:v>
      </x:c>
    </x:row>
    <x:row r="22" ht="52" customHeight="1">
      <x:c r="A22" s="67" t="n">
        <x:v>7</x:v>
      </x:c>
      <x:c r="B22" s="70" t="str">
        <x:v>Fulfilling</x:v>
      </x:c>
      <x:c r="C22" s="57" t="str">
        <x:v>Fulfil family purpose through enduring contributions to community, country, humanity, and future generations.</x:v>
      </x:c>
      <x:c r="D22" s="57" t="str">
        <x:v>Unlock when Yielding has stable succession, legitimate governance, public trust, and a purpose beyond family status.</x:v>
      </x:c>
      <x:c r="E22" s="57" t="str">
        <x:v>Legacy Pack</x:v>
      </x:c>
      <x:c r="F22" s="57" t="str">
        <x:v>Unlocked at stage 7</x:v>
      </x:c>
      <x:c r="G22" s="58" t="str">
        <x:v>Requires stable lower layers; it is not a status badge.</x:v>
      </x:c>
    </x:row>
    <x:row r="25">
      <x:c r="A25" s="72" t="str">
        <x:v>Smallest realistic software architecture</x:v>
      </x:c>
      <x:c r="B25" s="72"/>
      <x:c r="C25" s="72"/>
      <x:c r="D25" s="72"/>
      <x:c r="E25" s="72"/>
      <x:c r="F25" s="72"/>
      <x:c r="G25" s="72"/>
      <x:c r="H25" s="72"/>
    </x:row>
    <x:row r="26" ht="30" customHeight="1">
      <x:c r="A26" s="88" t="str">
        <x:v>1</x:v>
      </x:c>
      <x:c r="B26" s="74" t="str">
        <x:v>Build seven shared engines—Records, Plans, Actions, Collaboration, Safeguards, Insights, and Automation—not 343 independent screens.</x:v>
      </x:c>
      <x:c r="C26" s="74"/>
      <x:c r="D26" s="74"/>
      <x:c r="E26" s="74"/>
      <x:c r="F26" s="74"/>
      <x:c r="G26" s="74"/>
      <x:c r="H26" s="75"/>
    </x:row>
    <x:row r="27" ht="30" customHeight="1">
      <x:c r="A27" s="89" t="str">
        <x:v>2</x:v>
      </x:c>
      <x:c r="B27" s="77" t="str">
        <x:v>Configure those engines with 49 stage-domain feature packs. The resulting 343 nodes are metadata, permissions, labels, workflows, and rules.</x:v>
      </x:c>
      <x:c r="C27" s="77"/>
      <x:c r="D27" s="77"/>
      <x:c r="E27" s="77"/>
      <x:c r="F27" s="77"/>
      <x:c r="G27" s="77"/>
      <x:c r="H27" s="78"/>
    </x:row>
    <x:row r="28" ht="30" customHeight="1">
      <x:c r="A28" s="89" t="str">
        <x:v>3</x:v>
      </x:c>
      <x:c r="B28" s="77" t="str">
        <x:v>Surviving and Living are the permanent core. Thinking through Fulfilling are cumulative modules controlled by the selected maturity stage and readiness gates.</x:v>
      </x:c>
      <x:c r="C28" s="77"/>
      <x:c r="D28" s="77"/>
      <x:c r="E28" s="77"/>
      <x:c r="F28" s="77"/>
      <x:c r="G28" s="77"/>
      <x:c r="H28" s="78"/>
    </x:row>
    <x:row r="29" ht="30" customHeight="1">
      <x:c r="A29" s="90" t="str">
        <x:v>4</x:v>
      </x:c>
      <x:c r="B29" s="80" t="str">
        <x:v>A home may be at different stages by domain. Money could be Living while education is Thinking and community participation is Expressing.</x:v>
      </x:c>
      <x:c r="C29" s="80"/>
      <x:c r="D29" s="80"/>
      <x:c r="E29" s="80"/>
      <x:c r="F29" s="80"/>
      <x:c r="G29" s="80"/>
      <x:c r="H29" s="81"/>
    </x:row>
  </x:sheetData>
  <x:mergeCells>
    <x:mergeCell ref="A1:H2"/>
    <x:mergeCell ref="A4:H4"/>
    <x:mergeCell ref="A25:H25"/>
    <x:mergeCell ref="B26:H26"/>
    <x:mergeCell ref="B27:H27"/>
    <x:mergeCell ref="B28:H28"/>
    <x:mergeCell ref="B29:H29"/>
  </x:mergeCells>
  <x:dataValidations count="1">
    <x:dataValidation type="list" sqref="B11">
      <x:formula1>"1,2,3,4,5,6,7"</x:formula1>
    </x:dataValidation>
  </x:dataValidations>
  <x:pageMargins left="0.7" right="0.7" top="0.75" bottom="0.75" header="0.3" footer="0.3"/>
  <x:legacyDrawing xmlns:r="http://schemas.openxmlformats.org/officeDocument/2006/relationships" r:id="R041cfc404e8543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9" hidden="0" customWidth="1"/>
    <x:col min="5" max="5" width="30" hidden="0" customWidth="1"/>
    <x:col min="6" max="6" width="18" hidden="0" customWidth="1"/>
    <x:col min="7" max="7" width="72" hidden="0" customWidth="1"/>
    <x:col min="8" max="8" width="58" hidden="0" customWidth="1"/>
  </x:cols>
  <x:sheetData>
    <x:row r="1" ht="34" customHeight="1">
      <x:c r="A1" s="3" t="str">
        <x:v>49 STANDARD HOME-MANAGEMENT ITEMS — PERMANENT CORE</x:v>
      </x:c>
      <x:c r="B1" s="3" t="str">
        <x:v>49 STANDARD HOME-MANAGEMENT ITEMS — PERMANENT CORE</x:v>
      </x:c>
      <x:c r="C1" s="3" t="str">
        <x:v>49 STANDARD HOME-MANAGEMENT ITEMS — PERMANENT CORE</x:v>
      </x:c>
      <x:c r="D1" s="3" t="str">
        <x:v>49 STANDARD HOME-MANAGEMENT ITEMS — PERMANENT CORE</x:v>
      </x:c>
      <x:c r="E1" s="3" t="str">
        <x:v>49 STANDARD HOME-MANAGEMENT ITEMS — PERMANENT CORE</x:v>
      </x:c>
      <x:c r="F1" s="3" t="str">
        <x:v>49 STANDARD HOME-MANAGEMENT ITEMS — PERMANENT CORE</x:v>
      </x:c>
      <x:c r="G1" s="3" t="str">
        <x:v>49 STANDARD HOME-MANAGEMENT ITEMS — PERMANENT CORE</x:v>
      </x:c>
      <x:c r="H1" s="3" t="str">
        <x:v>49 STANDARD HOME-MANAGEMENT ITEMS — PERMANENT CORE</x:v>
      </x:c>
    </x:row>
    <x:row r="2" ht="34" customHeight="1">
      <x:c r="A2" s="3" t="str">
        <x:v>49 STANDARD HOME-MANAGEMENT ITEMS — PERMANENT CORE</x:v>
      </x:c>
      <x:c r="B2" s="3" t="str">
        <x:v>49 STANDARD HOME-MANAGEMENT ITEMS — PERMANENT CORE</x:v>
      </x:c>
      <x:c r="C2" s="3" t="str">
        <x:v>49 STANDARD HOME-MANAGEMENT ITEMS — PERMANENT CORE</x:v>
      </x:c>
      <x:c r="D2" s="3" t="str">
        <x:v>49 STANDARD HOME-MANAGEMENT ITEMS — PERMANENT CORE</x:v>
      </x:c>
      <x:c r="E2" s="3" t="str">
        <x:v>49 STANDARD HOME-MANAGEMENT ITEMS — PERMANENT CORE</x:v>
      </x:c>
      <x:c r="F2" s="3" t="str">
        <x:v>49 STANDARD HOME-MANAGEMENT ITEMS — PERMANENT CORE</x:v>
      </x:c>
      <x:c r="G2" s="3" t="str">
        <x:v>49 STANDARD HOME-MANAGEMENT ITEMS — PERMANENT CORE</x:v>
      </x:c>
      <x:c r="H2" s="3" t="str">
        <x:v>49 STANDARD HOME-MANAGEMENT ITEMS — PERMANENT CORE</x:v>
      </x:c>
    </x:row>
    <x:row r="4" ht="28" customHeight="1">
      <x:c r="A4" s="21" t="str">
        <x:v>Core ID</x:v>
      </x:c>
      <x:c r="B4" s="34" t="str">
        <x:v>Domain #</x:v>
      </x:c>
      <x:c r="C4" s="34" t="str">
        <x:v>Domain</x:v>
      </x:c>
      <x:c r="D4" s="34" t="str">
        <x:v>Item #</x:v>
      </x:c>
      <x:c r="E4" s="34" t="str">
        <x:v>Baseline Item</x:v>
      </x:c>
      <x:c r="F4" s="34" t="str">
        <x:v>Available From</x:v>
      </x:c>
      <x:c r="G4" s="34" t="str">
        <x:v>Minimum Data</x:v>
      </x:c>
      <x:c r="H4" s="22" t="str">
        <x:v>Why It Exists</x:v>
      </x:c>
    </x:row>
    <x:row r="5" ht="42" customHeight="1">
      <x:c r="A5" s="104" t="str">
        <x:v>D1-I1</x:v>
      </x:c>
      <x:c r="B5" s="104" t="n">
        <x:v>1</x:v>
      </x:c>
      <x:c r="C5" s="100" t="str">
        <x:v>Finance, Work &amp; Wealth</x:v>
      </x:c>
      <x:c r="D5" s="104" t="n">
        <x:v>1</x:v>
      </x:c>
      <x:c r="E5" s="100" t="str">
        <x:v>Income &amp; Employment</x:v>
      </x:c>
      <x:c r="F5" s="108" t="str">
        <x:v>Surviving</x:v>
      </x:c>
      <x:c r="G5" s="100" t="str">
        <x:v>income source; employer/client; amount; frequency; expected date</x:v>
      </x:c>
      <x:c r="H5" s="100" t="str">
        <x:v>Prevents immediate harm, loss, interruption, or legal exposure.</x:v>
      </x:c>
    </x:row>
    <x:row r="6" ht="42" customHeight="1">
      <x:c r="A6" s="105" t="str">
        <x:v>D1-I2</x:v>
      </x:c>
      <x:c r="B6" s="105" t="n">
        <x:v>1</x:v>
      </x:c>
      <x:c r="C6" s="101" t="str">
        <x:v>Finance, Work &amp; Wealth</x:v>
      </x:c>
      <x:c r="D6" s="105" t="n">
        <x:v>2</x:v>
      </x:c>
      <x:c r="E6" s="101" t="str">
        <x:v>Accounts &amp; Cash</x:v>
      </x:c>
      <x:c r="F6" s="109" t="str">
        <x:v>Surviving</x:v>
      </x:c>
      <x:c r="G6" s="101" t="str">
        <x:v>account/wallet; balance; institution; owner; access</x:v>
      </x:c>
      <x:c r="H6" s="101" t="str">
        <x:v>Prevents immediate harm, loss, interruption, or legal exposure.</x:v>
      </x:c>
    </x:row>
    <x:row r="7" ht="42" customHeight="1">
      <x:c r="A7" s="105" t="str">
        <x:v>D1-I3</x:v>
      </x:c>
      <x:c r="B7" s="105" t="n">
        <x:v>1</x:v>
      </x:c>
      <x:c r="C7" s="101" t="str">
        <x:v>Finance, Work &amp; Wealth</x:v>
      </x:c>
      <x:c r="D7" s="105" t="n">
        <x:v>3</x:v>
      </x:c>
      <x:c r="E7" s="101" t="str">
        <x:v>Household Budget</x:v>
      </x:c>
      <x:c r="F7" s="109" t="str">
        <x:v>Living</x:v>
      </x:c>
      <x:c r="G7" s="101" t="str">
        <x:v>category; planned amount; actual amount; period; variance</x:v>
      </x:c>
      <x:c r="H7" s="101" t="str">
        <x:v>Makes normal household life predictable, healthy, and maintainable.</x:v>
      </x:c>
    </x:row>
    <x:row r="8" ht="42" customHeight="1">
      <x:c r="A8" s="105" t="str">
        <x:v>D1-I4</x:v>
      </x:c>
      <x:c r="B8" s="105" t="n">
        <x:v>1</x:v>
      </x:c>
      <x:c r="C8" s="101" t="str">
        <x:v>Finance, Work &amp; Wealth</x:v>
      </x:c>
      <x:c r="D8" s="105" t="n">
        <x:v>4</x:v>
      </x:c>
      <x:c r="E8" s="101" t="str">
        <x:v>Expenses &amp; Receipts</x:v>
      </x:c>
      <x:c r="F8" s="109" t="str">
        <x:v>Living</x:v>
      </x:c>
      <x:c r="G8" s="101" t="str">
        <x:v>date; vendor; category; amount; payer; receipt</x:v>
      </x:c>
      <x:c r="H8" s="101" t="str">
        <x:v>Makes normal household life predictable, healthy, and maintainable.</x:v>
      </x:c>
    </x:row>
    <x:row r="9" ht="42" customHeight="1">
      <x:c r="A9" s="105" t="str">
        <x:v>D1-I5</x:v>
      </x:c>
      <x:c r="B9" s="105" t="n">
        <x:v>1</x:v>
      </x:c>
      <x:c r="C9" s="101" t="str">
        <x:v>Finance, Work &amp; Wealth</x:v>
      </x:c>
      <x:c r="D9" s="105" t="n">
        <x:v>5</x:v>
      </x:c>
      <x:c r="E9" s="101" t="str">
        <x:v>Bills &amp; Subscriptions</x:v>
      </x:c>
      <x:c r="F9" s="109" t="str">
        <x:v>Surviving</x:v>
      </x:c>
      <x:c r="G9" s="101" t="str">
        <x:v>provider; amount; due date; recurrence; status; autopay</x:v>
      </x:c>
      <x:c r="H9" s="101" t="str">
        <x:v>Prevents immediate harm, loss, interruption, or legal exposure.</x:v>
      </x:c>
    </x:row>
    <x:row r="10" ht="42" customHeight="1">
      <x:c r="A10" s="105" t="str">
        <x:v>D1-I6</x:v>
      </x:c>
      <x:c r="B10" s="105" t="n">
        <x:v>1</x:v>
      </x:c>
      <x:c r="C10" s="101" t="str">
        <x:v>Finance, Work &amp; Wealth</x:v>
      </x:c>
      <x:c r="D10" s="105" t="n">
        <x:v>6</x:v>
      </x:c>
      <x:c r="E10" s="101" t="str">
        <x:v>Debt &amp; Repayments</x:v>
      </x:c>
      <x:c r="F10" s="109" t="str">
        <x:v>Surviving</x:v>
      </x:c>
      <x:c r="G10" s="101" t="str">
        <x:v>lender; balance; rate; instalment; due date; collateral</x:v>
      </x:c>
      <x:c r="H10" s="101" t="str">
        <x:v>Prevents immediate harm, loss, interruption, or legal exposure.</x:v>
      </x:c>
    </x:row>
    <x:row r="11" ht="42" customHeight="1">
      <x:c r="A11" s="105" t="str">
        <x:v>D1-I7</x:v>
      </x:c>
      <x:c r="B11" s="105" t="n">
        <x:v>1</x:v>
      </x:c>
      <x:c r="C11" s="101" t="str">
        <x:v>Finance, Work &amp; Wealth</x:v>
      </x:c>
      <x:c r="D11" s="105" t="n">
        <x:v>7</x:v>
      </x:c>
      <x:c r="E11" s="101" t="str">
        <x:v>Savings &amp; Investments</x:v>
      </x:c>
      <x:c r="F11" s="109" t="str">
        <x:v>Living</x:v>
      </x:c>
      <x:c r="G11" s="101" t="str">
        <x:v>goal/account; balance; contribution; target; maturity; beneficiary</x:v>
      </x:c>
      <x:c r="H11" s="101" t="str">
        <x:v>Makes normal household life predictable, healthy, and maintainable.</x:v>
      </x:c>
    </x:row>
    <x:row r="12" ht="42" customHeight="1">
      <x:c r="A12" s="106" t="str">
        <x:v>D2-I1</x:v>
      </x:c>
      <x:c r="B12" s="106" t="n">
        <x:v>2</x:v>
      </x:c>
      <x:c r="C12" s="102" t="str">
        <x:v>Health &amp; Care</x:v>
      </x:c>
      <x:c r="D12" s="106" t="n">
        <x:v>1</x:v>
      </x:c>
      <x:c r="E12" s="102" t="str">
        <x:v>Member Health Profiles</x:v>
      </x:c>
      <x:c r="F12" s="110" t="str">
        <x:v>Surviving</x:v>
      </x:c>
      <x:c r="G12" s="102" t="str">
        <x:v>member; blood group; allergies; conditions; accessibility; emergency note</x:v>
      </x:c>
      <x:c r="H12" s="102" t="str">
        <x:v>Prevents immediate harm, loss, interruption, or legal exposure.</x:v>
      </x:c>
    </x:row>
    <x:row r="13" ht="42" customHeight="1">
      <x:c r="A13" s="107" t="str">
        <x:v>D2-I2</x:v>
      </x:c>
      <x:c r="B13" s="107" t="n">
        <x:v>2</x:v>
      </x:c>
      <x:c r="C13" s="103" t="str">
        <x:v>Health &amp; Care</x:v>
      </x:c>
      <x:c r="D13" s="107" t="n">
        <x:v>2</x:v>
      </x:c>
      <x:c r="E13" s="103" t="str">
        <x:v>Doctors &amp; Providers</x:v>
      </x:c>
      <x:c r="F13" s="111" t="str">
        <x:v>Surviving</x:v>
      </x:c>
      <x:c r="G13" s="103" t="str">
        <x:v>provider; specialty; contact; location; member; insurance network</x:v>
      </x:c>
      <x:c r="H13" s="103" t="str">
        <x:v>Prevents immediate harm, loss, interruption, or legal exposure.</x:v>
      </x:c>
    </x:row>
    <x:row r="14" ht="42" customHeight="1">
      <x:c r="A14" s="107" t="str">
        <x:v>D2-I3</x:v>
      </x:c>
      <x:c r="B14" s="107" t="n">
        <x:v>2</x:v>
      </x:c>
      <x:c r="C14" s="103" t="str">
        <x:v>Health &amp; Care</x:v>
      </x:c>
      <x:c r="D14" s="107" t="n">
        <x:v>3</x:v>
      </x:c>
      <x:c r="E14" s="103" t="str">
        <x:v>Appointments &amp; Follow-ups</x:v>
      </x:c>
      <x:c r="F14" s="111" t="str">
        <x:v>Surviving</x:v>
      </x:c>
      <x:c r="G14" s="103" t="str">
        <x:v>member; provider; date; reason; result; next action</x:v>
      </x:c>
      <x:c r="H14" s="103" t="str">
        <x:v>Prevents immediate harm, loss, interruption, or legal exposure.</x:v>
      </x:c>
    </x:row>
    <x:row r="15" ht="42" customHeight="1">
      <x:c r="A15" s="107" t="str">
        <x:v>D2-I4</x:v>
      </x:c>
      <x:c r="B15" s="107" t="n">
        <x:v>2</x:v>
      </x:c>
      <x:c r="C15" s="103" t="str">
        <x:v>Health &amp; Care</x:v>
      </x:c>
      <x:c r="D15" s="107" t="n">
        <x:v>4</x:v>
      </x:c>
      <x:c r="E15" s="103" t="str">
        <x:v>Medicines &amp; Treatments</x:v>
      </x:c>
      <x:c r="F15" s="111" t="str">
        <x:v>Surviving</x:v>
      </x:c>
      <x:c r="G15" s="103" t="str">
        <x:v>medicine; dosage; timing; start/end; prescriber; refill</x:v>
      </x:c>
      <x:c r="H15" s="103" t="str">
        <x:v>Prevents immediate harm, loss, interruption, or legal exposure.</x:v>
      </x:c>
    </x:row>
    <x:row r="16" ht="42" customHeight="1">
      <x:c r="A16" s="107" t="str">
        <x:v>D2-I5</x:v>
      </x:c>
      <x:c r="B16" s="107" t="n">
        <x:v>2</x:v>
      </x:c>
      <x:c r="C16" s="103" t="str">
        <x:v>Health &amp; Care</x:v>
      </x:c>
      <x:c r="D16" s="107" t="n">
        <x:v>5</x:v>
      </x:c>
      <x:c r="E16" s="103" t="str">
        <x:v>Tests, Vaccines &amp; Prevention</x:v>
      </x:c>
      <x:c r="F16" s="111" t="str">
        <x:v>Living</x:v>
      </x:c>
      <x:c r="G16" s="103" t="str">
        <x:v>member; test/vaccine; due date; result; evidence; next due</x:v>
      </x:c>
      <x:c r="H16" s="103" t="str">
        <x:v>Makes normal household life predictable, healthy, and maintainable.</x:v>
      </x:c>
    </x:row>
    <x:row r="17" ht="42" customHeight="1">
      <x:c r="A17" s="107" t="str">
        <x:v>D2-I6</x:v>
      </x:c>
      <x:c r="B17" s="107" t="n">
        <x:v>2</x:v>
      </x:c>
      <x:c r="C17" s="103" t="str">
        <x:v>Health &amp; Care</x:v>
      </x:c>
      <x:c r="D17" s="107" t="n">
        <x:v>6</x:v>
      </x:c>
      <x:c r="E17" s="103" t="str">
        <x:v>Fitness, Sleep &amp; Nutrition</x:v>
      </x:c>
      <x:c r="F17" s="111" t="str">
        <x:v>Living</x:v>
      </x:c>
      <x:c r="G17" s="103" t="str">
        <x:v>member; goal; routine; measure; frequency; trend</x:v>
      </x:c>
      <x:c r="H17" s="103" t="str">
        <x:v>Makes normal household life predictable, healthy, and maintainable.</x:v>
      </x:c>
    </x:row>
    <x:row r="18" ht="42" customHeight="1">
      <x:c r="A18" s="107" t="str">
        <x:v>D2-I7</x:v>
      </x:c>
      <x:c r="B18" s="107" t="n">
        <x:v>2</x:v>
      </x:c>
      <x:c r="C18" s="103" t="str">
        <x:v>Health &amp; Care</x:v>
      </x:c>
      <x:c r="D18" s="107" t="n">
        <x:v>7</x:v>
      </x:c>
      <x:c r="E18" s="103" t="str">
        <x:v>Caregiving &amp; Health Costs</x:v>
      </x:c>
      <x:c r="F18" s="111" t="str">
        <x:v>Living</x:v>
      </x:c>
      <x:c r="G18" s="103" t="str">
        <x:v>care recipient; caregiver; schedule; cost; funding; backup</x:v>
      </x:c>
      <x:c r="H18" s="103" t="str">
        <x:v>Makes normal household life predictable, healthy, and maintainable.</x:v>
      </x:c>
    </x:row>
    <x:row r="19" ht="42" customHeight="1">
      <x:c r="A19" s="104" t="str">
        <x:v>D3-I1</x:v>
      </x:c>
      <x:c r="B19" s="104" t="n">
        <x:v>3</x:v>
      </x:c>
      <x:c r="C19" s="100" t="str">
        <x:v>Education, Skills &amp; Knowledge</x:v>
      </x:c>
      <x:c r="D19" s="104" t="n">
        <x:v>1</x:v>
      </x:c>
      <x:c r="E19" s="100" t="str">
        <x:v>Schools &amp; Student Profiles</x:v>
      </x:c>
      <x:c r="F19" s="108" t="str">
        <x:v>Surviving</x:v>
      </x:c>
      <x:c r="G19" s="100" t="str">
        <x:v>student; school; class; contacts; ID; academic year</x:v>
      </x:c>
      <x:c r="H19" s="100" t="str">
        <x:v>Prevents immediate harm, loss, interruption, or legal exposure.</x:v>
      </x:c>
    </x:row>
    <x:row r="20" ht="42" customHeight="1">
      <x:c r="A20" s="105" t="str">
        <x:v>D3-I2</x:v>
      </x:c>
      <x:c r="B20" s="105" t="n">
        <x:v>3</x:v>
      </x:c>
      <x:c r="C20" s="101" t="str">
        <x:v>Education, Skills &amp; Knowledge</x:v>
      </x:c>
      <x:c r="D20" s="105" t="n">
        <x:v>2</x:v>
      </x:c>
      <x:c r="E20" s="101" t="str">
        <x:v>Calendar &amp; Attendance</x:v>
      </x:c>
      <x:c r="F20" s="109" t="str">
        <x:v>Surviving</x:v>
      </x:c>
      <x:c r="G20" s="101" t="str">
        <x:v>student; date; class/event; attendance; reason; action</x:v>
      </x:c>
      <x:c r="H20" s="101" t="str">
        <x:v>Prevents immediate harm, loss, interruption, or legal exposure.</x:v>
      </x:c>
    </x:row>
    <x:row r="21" ht="42" customHeight="1">
      <x:c r="A21" s="105" t="str">
        <x:v>D3-I3</x:v>
      </x:c>
      <x:c r="B21" s="105" t="n">
        <x:v>3</x:v>
      </x:c>
      <x:c r="C21" s="101" t="str">
        <x:v>Education, Skills &amp; Knowledge</x:v>
      </x:c>
      <x:c r="D21" s="105" t="n">
        <x:v>3</x:v>
      </x:c>
      <x:c r="E21" s="101" t="str">
        <x:v>Fees &amp; Education Costs</x:v>
      </x:c>
      <x:c r="F21" s="109" t="str">
        <x:v>Surviving</x:v>
      </x:c>
      <x:c r="G21" s="101" t="str">
        <x:v>student; fee; amount; due date; status; receipt</x:v>
      </x:c>
      <x:c r="H21" s="101" t="str">
        <x:v>Prevents immediate harm, loss, interruption, or legal exposure.</x:v>
      </x:c>
    </x:row>
    <x:row r="22" ht="42" customHeight="1">
      <x:c r="A22" s="105" t="str">
        <x:v>D3-I4</x:v>
      </x:c>
      <x:c r="B22" s="105" t="n">
        <x:v>3</x:v>
      </x:c>
      <x:c r="C22" s="101" t="str">
        <x:v>Education, Skills &amp; Knowledge</x:v>
      </x:c>
      <x:c r="D22" s="105" t="n">
        <x:v>4</x:v>
      </x:c>
      <x:c r="E22" s="101" t="str">
        <x:v>Assignments &amp; Exams</x:v>
      </x:c>
      <x:c r="F22" s="109" t="str">
        <x:v>Living</x:v>
      </x:c>
      <x:c r="G22" s="101" t="str">
        <x:v>student; subject; task/exam; due date; status; result</x:v>
      </x:c>
      <x:c r="H22" s="101" t="str">
        <x:v>Makes normal household life predictable, healthy, and maintainable.</x:v>
      </x:c>
    </x:row>
    <x:row r="23" ht="42" customHeight="1">
      <x:c r="A23" s="105" t="str">
        <x:v>D3-I5</x:v>
      </x:c>
      <x:c r="B23" s="105" t="n">
        <x:v>3</x:v>
      </x:c>
      <x:c r="C23" s="101" t="str">
        <x:v>Education, Skills &amp; Knowledge</x:v>
      </x:c>
      <x:c r="D23" s="105" t="n">
        <x:v>5</x:v>
      </x:c>
      <x:c r="E23" s="101" t="str">
        <x:v>Grades &amp; Progress</x:v>
      </x:c>
      <x:c r="F23" s="109" t="str">
        <x:v>Living</x:v>
      </x:c>
      <x:c r="G23" s="101" t="str">
        <x:v>student; subject; period; score; observation; support need</x:v>
      </x:c>
      <x:c r="H23" s="101" t="str">
        <x:v>Makes normal household life predictable, healthy, and maintainable.</x:v>
      </x:c>
    </x:row>
    <x:row r="24" ht="42" customHeight="1">
      <x:c r="A24" s="105" t="str">
        <x:v>D3-I6</x:v>
      </x:c>
      <x:c r="B24" s="105" t="n">
        <x:v>3</x:v>
      </x:c>
      <x:c r="C24" s="101" t="str">
        <x:v>Education, Skills &amp; Knowledge</x:v>
      </x:c>
      <x:c r="D24" s="105" t="n">
        <x:v>6</x:v>
      </x:c>
      <x:c r="E24" s="101" t="str">
        <x:v>Skills, Courses &amp; Tutors</x:v>
      </x:c>
      <x:c r="F24" s="109" t="str">
        <x:v>Living</x:v>
      </x:c>
      <x:c r="G24" s="101" t="str">
        <x:v>learner; skill/course; provider; schedule; cost; progress</x:v>
      </x:c>
      <x:c r="H24" s="101" t="str">
        <x:v>Makes normal household life predictable, healthy, and maintainable.</x:v>
      </x:c>
    </x:row>
    <x:row r="25" ht="42" customHeight="1">
      <x:c r="A25" s="105" t="str">
        <x:v>D3-I7</x:v>
      </x:c>
      <x:c r="B25" s="105" t="n">
        <x:v>3</x:v>
      </x:c>
      <x:c r="C25" s="101" t="str">
        <x:v>Education, Skills &amp; Knowledge</x:v>
      </x:c>
      <x:c r="D25" s="105" t="n">
        <x:v>7</x:v>
      </x:c>
      <x:c r="E25" s="101" t="str">
        <x:v>Documents &amp; Achievements</x:v>
      </x:c>
      <x:c r="F25" s="109" t="str">
        <x:v>Living</x:v>
      </x:c>
      <x:c r="G25" s="101" t="str">
        <x:v>learner; certificate/portfolio; date; issuer; file; expiry</x:v>
      </x:c>
      <x:c r="H25" s="101" t="str">
        <x:v>Makes normal household life predictable, healthy, and maintainable.</x:v>
      </x:c>
    </x:row>
    <x:row r="26" ht="42" customHeight="1">
      <x:c r="A26" s="106" t="str">
        <x:v>D4-I1</x:v>
      </x:c>
      <x:c r="B26" s="106" t="n">
        <x:v>4</x:v>
      </x:c>
      <x:c r="C26" s="102" t="str">
        <x:v>Home, Utilities &amp; Assets</x:v>
      </x:c>
      <x:c r="D26" s="106" t="n">
        <x:v>1</x:v>
      </x:c>
      <x:c r="E26" s="102" t="str">
        <x:v>Property, Lease &amp; Occupancy</x:v>
      </x:c>
      <x:c r="F26" s="110" t="str">
        <x:v>Surviving</x:v>
      </x:c>
      <x:c r="G26" s="102" t="str">
        <x:v>property; owner/landlord; occupants; rent/EMI; term; contact</x:v>
      </x:c>
      <x:c r="H26" s="102" t="str">
        <x:v>Prevents immediate harm, loss, interruption, or legal exposure.</x:v>
      </x:c>
    </x:row>
    <x:row r="27" ht="42" customHeight="1">
      <x:c r="A27" s="107" t="str">
        <x:v>D4-I2</x:v>
      </x:c>
      <x:c r="B27" s="107" t="n">
        <x:v>4</x:v>
      </x:c>
      <x:c r="C27" s="103" t="str">
        <x:v>Home, Utilities &amp; Assets</x:v>
      </x:c>
      <x:c r="D27" s="107" t="n">
        <x:v>2</x:v>
      </x:c>
      <x:c r="E27" s="103" t="str">
        <x:v>Rooms &amp; Space</x:v>
      </x:c>
      <x:c r="F27" s="111" t="str">
        <x:v>Living</x:v>
      </x:c>
      <x:c r="G27" s="103" t="str">
        <x:v>room/zone; purpose; assigned users; capacity; condition</x:v>
      </x:c>
      <x:c r="H27" s="103" t="str">
        <x:v>Makes normal household life predictable, healthy, and maintainable.</x:v>
      </x:c>
    </x:row>
    <x:row r="28" ht="42" customHeight="1">
      <x:c r="A28" s="107" t="str">
        <x:v>D4-I3</x:v>
      </x:c>
      <x:c r="B28" s="107" t="n">
        <x:v>4</x:v>
      </x:c>
      <x:c r="C28" s="103" t="str">
        <x:v>Home, Utilities &amp; Assets</x:v>
      </x:c>
      <x:c r="D28" s="107" t="n">
        <x:v>3</x:v>
      </x:c>
      <x:c r="E28" s="103" t="str">
        <x:v>Utilities &amp; Meters</x:v>
      </x:c>
      <x:c r="F28" s="111" t="str">
        <x:v>Surviving</x:v>
      </x:c>
      <x:c r="G28" s="103" t="str">
        <x:v>service; provider; account; meter; bill; usage; due date</x:v>
      </x:c>
      <x:c r="H28" s="103" t="str">
        <x:v>Prevents immediate harm, loss, interruption, or legal exposure.</x:v>
      </x:c>
    </x:row>
    <x:row r="29" ht="42" customHeight="1">
      <x:c r="A29" s="107" t="str">
        <x:v>D4-I4</x:v>
      </x:c>
      <x:c r="B29" s="107" t="n">
        <x:v>4</x:v>
      </x:c>
      <x:c r="C29" s="103" t="str">
        <x:v>Home, Utilities &amp; Assets</x:v>
      </x:c>
      <x:c r="D29" s="107" t="n">
        <x:v>4</x:v>
      </x:c>
      <x:c r="E29" s="103" t="str">
        <x:v>Furniture &amp; Appliances</x:v>
      </x:c>
      <x:c r="F29" s="111" t="str">
        <x:v>Living</x:v>
      </x:c>
      <x:c r="G29" s="103" t="str">
        <x:v>asset; location; owner; purchase date; warranty; condition</x:v>
      </x:c>
      <x:c r="H29" s="103" t="str">
        <x:v>Makes normal household life predictable, healthy, and maintainable.</x:v>
      </x:c>
    </x:row>
    <x:row r="30" ht="42" customHeight="1">
      <x:c r="A30" s="107" t="str">
        <x:v>D4-I5</x:v>
      </x:c>
      <x:c r="B30" s="107" t="n">
        <x:v>4</x:v>
      </x:c>
      <x:c r="C30" s="103" t="str">
        <x:v>Home, Utilities &amp; Assets</x:v>
      </x:c>
      <x:c r="D30" s="107" t="n">
        <x:v>5</x:v>
      </x:c>
      <x:c r="E30" s="103" t="str">
        <x:v>Maintenance &amp; Repairs</x:v>
      </x:c>
      <x:c r="F30" s="111" t="str">
        <x:v>Living</x:v>
      </x:c>
      <x:c r="G30" s="103" t="str">
        <x:v>asset/area; issue; priority; owner/vendor; cost; status</x:v>
      </x:c>
      <x:c r="H30" s="103" t="str">
        <x:v>Makes normal household life predictable, healthy, and maintainable.</x:v>
      </x:c>
    </x:row>
    <x:row r="31" ht="42" customHeight="1">
      <x:c r="A31" s="107" t="str">
        <x:v>D4-I6</x:v>
      </x:c>
      <x:c r="B31" s="107" t="n">
        <x:v>4</x:v>
      </x:c>
      <x:c r="C31" s="103" t="str">
        <x:v>Home, Utilities &amp; Assets</x:v>
      </x:c>
      <x:c r="D31" s="107" t="n">
        <x:v>6</x:v>
      </x:c>
      <x:c r="E31" s="103" t="str">
        <x:v>Cleaning &amp; Hygiene</x:v>
      </x:c>
      <x:c r="F31" s="111" t="str">
        <x:v>Living</x:v>
      </x:c>
      <x:c r="G31" s="103" t="str">
        <x:v>area; standard; frequency; owner; supplies; last/next date</x:v>
      </x:c>
      <x:c r="H31" s="103" t="str">
        <x:v>Makes normal household life predictable, healthy, and maintainable.</x:v>
      </x:c>
    </x:row>
    <x:row r="32" ht="42" customHeight="1">
      <x:c r="A32" s="107" t="str">
        <x:v>D4-I7</x:v>
      </x:c>
      <x:c r="B32" s="107" t="n">
        <x:v>4</x:v>
      </x:c>
      <x:c r="C32" s="103" t="str">
        <x:v>Home, Utilities &amp; Assets</x:v>
      </x:c>
      <x:c r="D32" s="107" t="n">
        <x:v>7</x:v>
      </x:c>
      <x:c r="E32" s="103" t="str">
        <x:v>Household Inventory</x:v>
      </x:c>
      <x:c r="F32" s="111" t="str">
        <x:v>Living</x:v>
      </x:c>
      <x:c r="G32" s="103" t="str">
        <x:v>item; category; location; quantity; minimum; expiry; replacement</x:v>
      </x:c>
      <x:c r="H32" s="103" t="str">
        <x:v>Makes normal household life predictable, healthy, and maintainable.</x:v>
      </x:c>
    </x:row>
    <x:row r="33" ht="42" customHeight="1">
      <x:c r="A33" s="104" t="str">
        <x:v>D5-I1</x:v>
      </x:c>
      <x:c r="B33" s="104" t="n">
        <x:v>5</x:v>
      </x:c>
      <x:c r="C33" s="100" t="str">
        <x:v>Food, Time &amp; Daily Operations</x:v>
      </x:c>
      <x:c r="D33" s="104" t="n">
        <x:v>1</x:v>
      </x:c>
      <x:c r="E33" s="100" t="str">
        <x:v>Groceries &amp; Shopping</x:v>
      </x:c>
      <x:c r="F33" s="108" t="str">
        <x:v>Surviving</x:v>
      </x:c>
      <x:c r="G33" s="100" t="str">
        <x:v>item; quantity; priority; store/vendor; price; status</x:v>
      </x:c>
      <x:c r="H33" s="100" t="str">
        <x:v>Prevents immediate harm, loss, interruption, or legal exposure.</x:v>
      </x:c>
    </x:row>
    <x:row r="34" ht="42" customHeight="1">
      <x:c r="A34" s="105" t="str">
        <x:v>D5-I2</x:v>
      </x:c>
      <x:c r="B34" s="105" t="n">
        <x:v>5</x:v>
      </x:c>
      <x:c r="C34" s="101" t="str">
        <x:v>Food, Time &amp; Daily Operations</x:v>
      </x:c>
      <x:c r="D34" s="105" t="n">
        <x:v>2</x:v>
      </x:c>
      <x:c r="E34" s="101" t="str">
        <x:v>Pantry &amp; Expiry</x:v>
      </x:c>
      <x:c r="F34" s="109" t="str">
        <x:v>Surviving</x:v>
      </x:c>
      <x:c r="G34" s="101" t="str">
        <x:v>item; quantity; location; expiry; minimum; replenishment</x:v>
      </x:c>
      <x:c r="H34" s="101" t="str">
        <x:v>Prevents immediate harm, loss, interruption, or legal exposure.</x:v>
      </x:c>
    </x:row>
    <x:row r="35" ht="42" customHeight="1">
      <x:c r="A35" s="105" t="str">
        <x:v>D5-I3</x:v>
      </x:c>
      <x:c r="B35" s="105" t="n">
        <x:v>5</x:v>
      </x:c>
      <x:c r="C35" s="101" t="str">
        <x:v>Food, Time &amp; Daily Operations</x:v>
      </x:c>
      <x:c r="D35" s="105" t="n">
        <x:v>3</x:v>
      </x:c>
      <x:c r="E35" s="101" t="str">
        <x:v>Meal Planning &amp; Recipes</x:v>
      </x:c>
      <x:c r="F35" s="109" t="str">
        <x:v>Living</x:v>
      </x:c>
      <x:c r="G35" s="101" t="str">
        <x:v>date; meal; members; dietary needs; recipe; ingredients</x:v>
      </x:c>
      <x:c r="H35" s="101" t="str">
        <x:v>Makes normal household life predictable, healthy, and maintainable.</x:v>
      </x:c>
    </x:row>
    <x:row r="36" ht="42" customHeight="1">
      <x:c r="A36" s="105" t="str">
        <x:v>D5-I4</x:v>
      </x:c>
      <x:c r="B36" s="105" t="n">
        <x:v>5</x:v>
      </x:c>
      <x:c r="C36" s="101" t="str">
        <x:v>Food, Time &amp; Daily Operations</x:v>
      </x:c>
      <x:c r="D36" s="105" t="n">
        <x:v>4</x:v>
      </x:c>
      <x:c r="E36" s="101" t="str">
        <x:v>Tasks &amp; Chores</x:v>
      </x:c>
      <x:c r="F36" s="109" t="str">
        <x:v>Living</x:v>
      </x:c>
      <x:c r="G36" s="101" t="str">
        <x:v>task; owner; due date; recurrence; priority; status</x:v>
      </x:c>
      <x:c r="H36" s="101" t="str">
        <x:v>Makes normal household life predictable, healthy, and maintainable.</x:v>
      </x:c>
    </x:row>
    <x:row r="37" ht="42" customHeight="1">
      <x:c r="A37" s="105" t="str">
        <x:v>D5-I5</x:v>
      </x:c>
      <x:c r="B37" s="105" t="n">
        <x:v>5</x:v>
      </x:c>
      <x:c r="C37" s="101" t="str">
        <x:v>Food, Time &amp; Daily Operations</x:v>
      </x:c>
      <x:c r="D37" s="105" t="n">
        <x:v>5</x:v>
      </x:c>
      <x:c r="E37" s="101" t="str">
        <x:v>Shared Calendar</x:v>
      </x:c>
      <x:c r="F37" s="109" t="str">
        <x:v>Living</x:v>
      </x:c>
      <x:c r="G37" s="101" t="str">
        <x:v>event; members; date/time; location; dependency; reminder</x:v>
      </x:c>
      <x:c r="H37" s="101" t="str">
        <x:v>Makes normal household life predictable, healthy, and maintainable.</x:v>
      </x:c>
    </x:row>
    <x:row r="38" ht="42" customHeight="1">
      <x:c r="A38" s="105" t="str">
        <x:v>D5-I6</x:v>
      </x:c>
      <x:c r="B38" s="105" t="n">
        <x:v>5</x:v>
      </x:c>
      <x:c r="C38" s="101" t="str">
        <x:v>Food, Time &amp; Daily Operations</x:v>
      </x:c>
      <x:c r="D38" s="105" t="n">
        <x:v>6</x:v>
      </x:c>
      <x:c r="E38" s="101" t="str">
        <x:v>Transport &amp; Vehicles</x:v>
      </x:c>
      <x:c r="F38" s="109" t="str">
        <x:v>Living</x:v>
      </x:c>
      <x:c r="G38" s="101" t="str">
        <x:v>vehicle/trip; driver; licence; route; fuel; service; cost</x:v>
      </x:c>
      <x:c r="H38" s="101" t="str">
        <x:v>Makes normal household life predictable, healthy, and maintainable.</x:v>
      </x:c>
    </x:row>
    <x:row r="39" ht="42" customHeight="1">
      <x:c r="A39" s="105" t="str">
        <x:v>D5-I7</x:v>
      </x:c>
      <x:c r="B39" s="105" t="n">
        <x:v>5</x:v>
      </x:c>
      <x:c r="C39" s="101" t="str">
        <x:v>Food, Time &amp; Daily Operations</x:v>
      </x:c>
      <x:c r="D39" s="105" t="n">
        <x:v>7</x:v>
      </x:c>
      <x:c r="E39" s="101" t="str">
        <x:v>Orders, Travel &amp; Events</x:v>
      </x:c>
      <x:c r="F39" s="109" t="str">
        <x:v>Living</x:v>
      </x:c>
      <x:c r="G39" s="101" t="str">
        <x:v>order/trip/event; booking; date; people; cost; status</x:v>
      </x:c>
      <x:c r="H39" s="101" t="str">
        <x:v>Makes normal household life predictable, healthy, and maintainable.</x:v>
      </x:c>
    </x:row>
    <x:row r="40" ht="42" customHeight="1">
      <x:c r="A40" s="106" t="str">
        <x:v>D6-I1</x:v>
      </x:c>
      <x:c r="B40" s="106" t="n">
        <x:v>6</x:v>
      </x:c>
      <x:c r="C40" s="102" t="str">
        <x:v>Family, Relationships &amp; Community</x:v>
      </x:c>
      <x:c r="D40" s="106" t="n">
        <x:v>1</x:v>
      </x:c>
      <x:c r="E40" s="102" t="str">
        <x:v>Members &amp; Contacts</x:v>
      </x:c>
      <x:c r="F40" s="110" t="str">
        <x:v>Surviving</x:v>
      </x:c>
      <x:c r="G40" s="102" t="str">
        <x:v>person; relationship; contact; address; emergency role; preferences</x:v>
      </x:c>
      <x:c r="H40" s="102" t="str">
        <x:v>Prevents immediate harm, loss, interruption, or legal exposure.</x:v>
      </x:c>
    </x:row>
    <x:row r="41" ht="42" customHeight="1">
      <x:c r="A41" s="107" t="str">
        <x:v>D6-I2</x:v>
      </x:c>
      <x:c r="B41" s="107" t="n">
        <x:v>6</x:v>
      </x:c>
      <x:c r="C41" s="103" t="str">
        <x:v>Family, Relationships &amp; Community</x:v>
      </x:c>
      <x:c r="D41" s="107" t="n">
        <x:v>2</x:v>
      </x:c>
      <x:c r="E41" s="103" t="str">
        <x:v>Roles &amp; Responsibilities</x:v>
      </x:c>
      <x:c r="F41" s="111" t="str">
        <x:v>Living</x:v>
      </x:c>
      <x:c r="G41" s="103" t="str">
        <x:v>role; owner; duty; frequency; backup; review date</x:v>
      </x:c>
      <x:c r="H41" s="103" t="str">
        <x:v>Makes normal household life predictable, healthy, and maintainable.</x:v>
      </x:c>
    </x:row>
    <x:row r="42" ht="42" customHeight="1">
      <x:c r="A42" s="107" t="str">
        <x:v>D6-I3</x:v>
      </x:c>
      <x:c r="B42" s="107" t="n">
        <x:v>6</x:v>
      </x:c>
      <x:c r="C42" s="103" t="str">
        <x:v>Family, Relationships &amp; Community</x:v>
      </x:c>
      <x:c r="D42" s="107" t="n">
        <x:v>3</x:v>
      </x:c>
      <x:c r="E42" s="103" t="str">
        <x:v>Family Meetings &amp; Decisions</x:v>
      </x:c>
      <x:c r="F42" s="111" t="str">
        <x:v>Living</x:v>
      </x:c>
      <x:c r="G42" s="103" t="str">
        <x:v>topic; participants; options; decision; owner; follow-up</x:v>
      </x:c>
      <x:c r="H42" s="103" t="str">
        <x:v>Makes normal household life predictable, healthy, and maintainable.</x:v>
      </x:c>
    </x:row>
    <x:row r="43" ht="42" customHeight="1">
      <x:c r="A43" s="107" t="str">
        <x:v>D6-I4</x:v>
      </x:c>
      <x:c r="B43" s="107" t="n">
        <x:v>6</x:v>
      </x:c>
      <x:c r="C43" s="103" t="str">
        <x:v>Family, Relationships &amp; Community</x:v>
      </x:c>
      <x:c r="D43" s="107" t="n">
        <x:v>4</x:v>
      </x:c>
      <x:c r="E43" s="103" t="str">
        <x:v>Childcare &amp; Parenting</x:v>
      </x:c>
      <x:c r="F43" s="111" t="str">
        <x:v>Surviving</x:v>
      </x:c>
      <x:c r="G43" s="103" t="str">
        <x:v>child; caregiver; schedule; permissions; needs; handoff</x:v>
      </x:c>
      <x:c r="H43" s="103" t="str">
        <x:v>Prevents immediate harm, loss, interruption, or legal exposure.</x:v>
      </x:c>
    </x:row>
    <x:row r="44" ht="42" customHeight="1">
      <x:c r="A44" s="107" t="str">
        <x:v>D6-I5</x:v>
      </x:c>
      <x:c r="B44" s="107" t="n">
        <x:v>6</x:v>
      </x:c>
      <x:c r="C44" s="103" t="str">
        <x:v>Family, Relationships &amp; Community</x:v>
      </x:c>
      <x:c r="D44" s="107" t="n">
        <x:v>5</x:v>
      </x:c>
      <x:c r="E44" s="103" t="str">
        <x:v>Elder &amp; Dependent Care</x:v>
      </x:c>
      <x:c r="F44" s="111" t="str">
        <x:v>Surviving</x:v>
      </x:c>
      <x:c r="G44" s="103" t="str">
        <x:v>person; care need; caregiver; schedule; provider; backup</x:v>
      </x:c>
      <x:c r="H44" s="103" t="str">
        <x:v>Prevents immediate harm, loss, interruption, or legal exposure.</x:v>
      </x:c>
    </x:row>
    <x:row r="45" ht="42" customHeight="1">
      <x:c r="A45" s="107" t="str">
        <x:v>D6-I6</x:v>
      </x:c>
      <x:c r="B45" s="107" t="n">
        <x:v>6</x:v>
      </x:c>
      <x:c r="C45" s="103" t="str">
        <x:v>Family, Relationships &amp; Community</x:v>
      </x:c>
      <x:c r="D45" s="107" t="n">
        <x:v>6</x:v>
      </x:c>
      <x:c r="E45" s="103" t="str">
        <x:v>Pets &amp; Animal Care</x:v>
      </x:c>
      <x:c r="F45" s="111" t="str">
        <x:v>Living</x:v>
      </x:c>
      <x:c r="G45" s="103" t="str">
        <x:v>pet; feeding; health; grooming; supplies; registration</x:v>
      </x:c>
      <x:c r="H45" s="103" t="str">
        <x:v>Makes normal household life predictable, healthy, and maintainable.</x:v>
      </x:c>
    </x:row>
    <x:row r="46" ht="42" customHeight="1">
      <x:c r="A46" s="107" t="str">
        <x:v>D6-I7</x:v>
      </x:c>
      <x:c r="B46" s="107" t="n">
        <x:v>6</x:v>
      </x:c>
      <x:c r="C46" s="103" t="str">
        <x:v>Family, Relationships &amp; Community</x:v>
      </x:c>
      <x:c r="D46" s="107" t="n">
        <x:v>7</x:v>
      </x:c>
      <x:c r="E46" s="103" t="str">
        <x:v>Guests, Community &amp; Celebrations</x:v>
      </x:c>
      <x:c r="F46" s="111" t="str">
        <x:v>Living</x:v>
      </x:c>
      <x:c r="G46" s="103" t="str">
        <x:v>person/group; event; date; contribution; logistics; notes</x:v>
      </x:c>
      <x:c r="H46" s="103" t="str">
        <x:v>Makes normal household life predictable, healthy, and maintainable.</x:v>
      </x:c>
    </x:row>
    <x:row r="47" ht="42" customHeight="1">
      <x:c r="A47" s="104" t="str">
        <x:v>D7-I1</x:v>
      </x:c>
      <x:c r="B47" s="104" t="n">
        <x:v>7</x:v>
      </x:c>
      <x:c r="C47" s="100" t="str">
        <x:v>Safety, Legal &amp; Governance</x:v>
      </x:c>
      <x:c r="D47" s="104" t="n">
        <x:v>1</x:v>
      </x:c>
      <x:c r="E47" s="100" t="str">
        <x:v>Identity Documents</x:v>
      </x:c>
      <x:c r="F47" s="108" t="str">
        <x:v>Surviving</x:v>
      </x:c>
      <x:c r="G47" s="100" t="str">
        <x:v>person; document; number; issuer; expiry; secure file</x:v>
      </x:c>
      <x:c r="H47" s="100" t="str">
        <x:v>Prevents immediate harm, loss, interruption, or legal exposure.</x:v>
      </x:c>
    </x:row>
    <x:row r="48" ht="42" customHeight="1">
      <x:c r="A48" s="105" t="str">
        <x:v>D7-I2</x:v>
      </x:c>
      <x:c r="B48" s="105" t="n">
        <x:v>7</x:v>
      </x:c>
      <x:c r="C48" s="101" t="str">
        <x:v>Safety, Legal &amp; Governance</x:v>
      </x:c>
      <x:c r="D48" s="105" t="n">
        <x:v>2</x:v>
      </x:c>
      <x:c r="E48" s="101" t="str">
        <x:v>Emergency Contacts &amp; Plans</x:v>
      </x:c>
      <x:c r="F48" s="109" t="str">
        <x:v>Surviving</x:v>
      </x:c>
      <x:c r="G48" s="101" t="str">
        <x:v>risk; contact; action; meeting point; supplies; drill</x:v>
      </x:c>
      <x:c r="H48" s="101" t="str">
        <x:v>Prevents immediate harm, loss, interruption, or legal exposure.</x:v>
      </x:c>
    </x:row>
    <x:row r="49" ht="42" customHeight="1">
      <x:c r="A49" s="105" t="str">
        <x:v>D7-I3</x:v>
      </x:c>
      <x:c r="B49" s="105" t="n">
        <x:v>7</x:v>
      </x:c>
      <x:c r="C49" s="101" t="str">
        <x:v>Safety, Legal &amp; Governance</x:v>
      </x:c>
      <x:c r="D49" s="105" t="n">
        <x:v>3</x:v>
      </x:c>
      <x:c r="E49" s="101" t="str">
        <x:v>Insurance Policies</x:v>
      </x:c>
      <x:c r="F49" s="109" t="str">
        <x:v>Living</x:v>
      </x:c>
      <x:c r="G49" s="101" t="str">
        <x:v>policy; insured person/asset; coverage; premium; renewal; claim</x:v>
      </x:c>
      <x:c r="H49" s="101" t="str">
        <x:v>Makes normal household life predictable, healthy, and maintainable.</x:v>
      </x:c>
    </x:row>
    <x:row r="50" ht="42" customHeight="1">
      <x:c r="A50" s="105" t="str">
        <x:v>D7-I4</x:v>
      </x:c>
      <x:c r="B50" s="105" t="n">
        <x:v>7</x:v>
      </x:c>
      <x:c r="C50" s="101" t="str">
        <x:v>Safety, Legal &amp; Governance</x:v>
      </x:c>
      <x:c r="D50" s="105" t="n">
        <x:v>4</x:v>
      </x:c>
      <x:c r="E50" s="101" t="str">
        <x:v>Tax &amp; Statutory Records</x:v>
      </x:c>
      <x:c r="F50" s="109" t="str">
        <x:v>Living</x:v>
      </x:c>
      <x:c r="G50" s="101" t="str">
        <x:v>person/entity; period; obligation; due date; status; evidence</x:v>
      </x:c>
      <x:c r="H50" s="101" t="str">
        <x:v>Makes normal household life predictable, healthy, and maintainable.</x:v>
      </x:c>
    </x:row>
    <x:row r="51" ht="42" customHeight="1">
      <x:c r="A51" s="105" t="str">
        <x:v>D7-I5</x:v>
      </x:c>
      <x:c r="B51" s="105" t="n">
        <x:v>7</x:v>
      </x:c>
      <x:c r="C51" s="101" t="str">
        <x:v>Safety, Legal &amp; Governance</x:v>
      </x:c>
      <x:c r="D51" s="105" t="n">
        <x:v>5</x:v>
      </x:c>
      <x:c r="E51" s="101" t="str">
        <x:v>Contracts, Licences &amp; Consent</x:v>
      </x:c>
      <x:c r="F51" s="109" t="str">
        <x:v>Living</x:v>
      </x:c>
      <x:c r="G51" s="101" t="str">
        <x:v>document; parties; effective date; expiry; obligation; file</x:v>
      </x:c>
      <x:c r="H51" s="101" t="str">
        <x:v>Makes normal household life predictable, healthy, and maintainable.</x:v>
      </x:c>
    </x:row>
    <x:row r="52" ht="42" customHeight="1">
      <x:c r="A52" s="105" t="str">
        <x:v>D7-I6</x:v>
      </x:c>
      <x:c r="B52" s="105" t="n">
        <x:v>7</x:v>
      </x:c>
      <x:c r="C52" s="101" t="str">
        <x:v>Safety, Legal &amp; Governance</x:v>
      </x:c>
      <x:c r="D52" s="105" t="n">
        <x:v>6</x:v>
      </x:c>
      <x:c r="E52" s="101" t="str">
        <x:v>Security &amp; Access</x:v>
      </x:c>
      <x:c r="F52" s="109" t="str">
        <x:v>Surviving</x:v>
      </x:c>
      <x:c r="G52" s="101" t="str">
        <x:v>door/account/device; user; permission; credential; review; incident</x:v>
      </x:c>
      <x:c r="H52" s="101" t="str">
        <x:v>Prevents immediate harm, loss, interruption, or legal exposure.</x:v>
      </x:c>
    </x:row>
    <x:row r="53" ht="42" customHeight="1">
      <x:c r="A53" s="105" t="str">
        <x:v>D7-I7</x:v>
      </x:c>
      <x:c r="B53" s="105" t="n">
        <x:v>7</x:v>
      </x:c>
      <x:c r="C53" s="101" t="str">
        <x:v>Safety, Legal &amp; Governance</x:v>
      </x:c>
      <x:c r="D53" s="105" t="n">
        <x:v>7</x:v>
      </x:c>
      <x:c r="E53" s="101" t="str">
        <x:v>Backups, Privacy &amp; Succession</x:v>
      </x:c>
      <x:c r="F53" s="109" t="str">
        <x:v>Living</x:v>
      </x:c>
      <x:c r="G53" s="101" t="str">
        <x:v>data/role; owner; backup; retention; nominee; recovery test</x:v>
      </x:c>
      <x:c r="H53" s="101" t="str">
        <x:v>Makes normal household life predictable, healthy, and maintainable.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10" hidden="0" customWidth="1"/>
    <x:col min="5" max="5" width="34" hidden="0" customWidth="1"/>
    <x:col min="6" max="6" width="10" hidden="0" customWidth="1"/>
    <x:col min="7" max="7" width="17" hidden="0" customWidth="1"/>
    <x:col min="8" max="8" width="58" hidden="0" customWidth="1"/>
    <x:col min="9" max="9" width="36" hidden="0" customWidth="1"/>
    <x:col min="10" max="10" width="72" hidden="0" customWidth="1"/>
    <x:col min="11" max="11" width="72" hidden="0" customWidth="1"/>
    <x:col min="12" max="12" width="18" hidden="0" customWidth="1"/>
    <x:col min="13" max="13" width="18" hidden="0" customWidth="1"/>
  </x:cols>
  <x:sheetData>
    <x:row r="1" ht="34" customHeight="1">
      <x:c r="A1" s="3" t="str">
        <x:v>343 CONFIGURABLE FEATURE NODES — 7 STAGES × 7 DOMAINS × 7 ENGINES</x:v>
      </x:c>
      <x:c r="B1" s="3" t="str">
        <x:v>343 CONFIGURABLE FEATURE NODES — 7 STAGES × 7 DOMAINS × 7 ENGINES</x:v>
      </x:c>
      <x:c r="C1" s="3" t="str">
        <x:v>343 CONFIGURABLE FEATURE NODES — 7 STAGES × 7 DOMAINS × 7 ENGINES</x:v>
      </x:c>
      <x:c r="D1" s="3" t="str">
        <x:v>343 CONFIGURABLE FEATURE NODES — 7 STAGES × 7 DOMAINS × 7 ENGINES</x:v>
      </x:c>
      <x:c r="E1" s="3" t="str">
        <x:v>343 CONFIGURABLE FEATURE NODES — 7 STAGES × 7 DOMAINS × 7 ENGINES</x:v>
      </x:c>
      <x:c r="F1" s="3" t="str">
        <x:v>343 CONFIGURABLE FEATURE NODES — 7 STAGES × 7 DOMAINS × 7 ENGINES</x:v>
      </x:c>
      <x:c r="G1" s="3" t="str">
        <x:v>343 CONFIGURABLE FEATURE NODES — 7 STAGES × 7 DOMAINS × 7 ENGINES</x:v>
      </x:c>
      <x:c r="H1" s="3" t="str">
        <x:v>343 CONFIGURABLE FEATURE NODES — 7 STAGES × 7 DOMAINS × 7 ENGINES</x:v>
      </x:c>
      <x:c r="I1" s="3" t="str">
        <x:v>343 CONFIGURABLE FEATURE NODES — 7 STAGES × 7 DOMAINS × 7 ENGINES</x:v>
      </x:c>
      <x:c r="J1" s="3" t="str">
        <x:v>343 CONFIGURABLE FEATURE NODES — 7 STAGES × 7 DOMAINS × 7 ENGINES</x:v>
      </x:c>
      <x:c r="K1" s="3" t="str">
        <x:v>343 CONFIGURABLE FEATURE NODES — 7 STAGES × 7 DOMAINS × 7 ENGINES</x:v>
      </x:c>
      <x:c r="L1" s="3" t="str">
        <x:v>343 CONFIGURABLE FEATURE NODES — 7 STAGES × 7 DOMAINS × 7 ENGINES</x:v>
      </x:c>
      <x:c r="M1" s="3" t="str">
        <x:v>343 CONFIGURABLE FEATURE NODES — 7 STAGES × 7 DOMAINS × 7 ENGINES</x:v>
      </x:c>
    </x:row>
    <x:row r="2" ht="34" customHeight="1">
      <x:c r="A2" s="3" t="str">
        <x:v>343 CONFIGURABLE FEATURE NODES — 7 STAGES × 7 DOMAINS × 7 ENGINES</x:v>
      </x:c>
      <x:c r="B2" s="3" t="str">
        <x:v>343 CONFIGURABLE FEATURE NODES — 7 STAGES × 7 DOMAINS × 7 ENGINES</x:v>
      </x:c>
      <x:c r="C2" s="3" t="str">
        <x:v>343 CONFIGURABLE FEATURE NODES — 7 STAGES × 7 DOMAINS × 7 ENGINES</x:v>
      </x:c>
      <x:c r="D2" s="3" t="str">
        <x:v>343 CONFIGURABLE FEATURE NODES — 7 STAGES × 7 DOMAINS × 7 ENGINES</x:v>
      </x:c>
      <x:c r="E2" s="3" t="str">
        <x:v>343 CONFIGURABLE FEATURE NODES — 7 STAGES × 7 DOMAINS × 7 ENGINES</x:v>
      </x:c>
      <x:c r="F2" s="3" t="str">
        <x:v>343 CONFIGURABLE FEATURE NODES — 7 STAGES × 7 DOMAINS × 7 ENGINES</x:v>
      </x:c>
      <x:c r="G2" s="3" t="str">
        <x:v>343 CONFIGURABLE FEATURE NODES — 7 STAGES × 7 DOMAINS × 7 ENGINES</x:v>
      </x:c>
      <x:c r="H2" s="3" t="str">
        <x:v>343 CONFIGURABLE FEATURE NODES — 7 STAGES × 7 DOMAINS × 7 ENGINES</x:v>
      </x:c>
      <x:c r="I2" s="3" t="str">
        <x:v>343 CONFIGURABLE FEATURE NODES — 7 STAGES × 7 DOMAINS × 7 ENGINES</x:v>
      </x:c>
      <x:c r="J2" s="3" t="str">
        <x:v>343 CONFIGURABLE FEATURE NODES — 7 STAGES × 7 DOMAINS × 7 ENGINES</x:v>
      </x:c>
      <x:c r="K2" s="3" t="str">
        <x:v>343 CONFIGURABLE FEATURE NODES — 7 STAGES × 7 DOMAINS × 7 ENGINES</x:v>
      </x:c>
      <x:c r="L2" s="3" t="str">
        <x:v>343 CONFIGURABLE FEATURE NODES — 7 STAGES × 7 DOMAINS × 7 ENGINES</x:v>
      </x:c>
      <x:c r="M2" s="3" t="str">
        <x:v>343 CONFIGURABLE FEATURE NODES — 7 STAGES × 7 DOMAINS × 7 ENGINES</x:v>
      </x:c>
    </x:row>
    <x:row r="4" ht="28" customHeight="1">
      <x:c r="A4" s="21" t="str">
        <x:v>Feature ID</x:v>
      </x:c>
      <x:c r="B4" s="34" t="str">
        <x:v>Stage #</x:v>
      </x:c>
      <x:c r="C4" s="34" t="str">
        <x:v>Stage</x:v>
      </x:c>
      <x:c r="D4" s="34" t="str">
        <x:v>Domain #</x:v>
      </x:c>
      <x:c r="E4" s="34" t="str">
        <x:v>Domain</x:v>
      </x:c>
      <x:c r="F4" s="34" t="str">
        <x:v>Engine #</x:v>
      </x:c>
      <x:c r="G4" s="34" t="str">
        <x:v>Engine</x:v>
      </x:c>
      <x:c r="H4" s="34" t="str">
        <x:v>Stage-Domain Pack</x:v>
      </x:c>
      <x:c r="I4" s="34" t="str">
        <x:v>Implementable Feature</x:v>
      </x:c>
      <x:c r="J4" s="34" t="str">
        <x:v>Feature Behaviour</x:v>
      </x:c>
      <x:c r="K4" s="34" t="str">
        <x:v>Core Data / Entities</x:v>
      </x:c>
      <x:c r="L4" s="34" t="str">
        <x:v>Release</x:v>
      </x:c>
      <x:c r="M4" s="22" t="str">
        <x:v>Availability</x:v>
      </x:c>
    </x:row>
    <x:row r="5" ht="54" customHeight="1">
      <x:c r="A5" s="104" t="str">
        <x:v>S1-D1-E1</x:v>
      </x:c>
      <x:c r="B5" s="104" t="n">
        <x:v>1</x:v>
      </x:c>
      <x:c r="C5" s="104" t="str">
        <x:v>Surviving</x:v>
      </x:c>
      <x:c r="D5" s="104" t="n">
        <x:v>1</x:v>
      </x:c>
      <x:c r="E5" s="104" t="str">
        <x:v>Finance, Work &amp; Wealth</x:v>
      </x:c>
      <x:c r="F5" s="104" t="n">
        <x:v>1</x:v>
      </x:c>
      <x:c r="G5" s="104" t="str">
        <x:v>Records</x:v>
      </x:c>
      <x:c r="H5" s="100" t="str">
        <x:v>Essential Cash &amp; Income — Avoid running out of money and keep critical obligations paid.</x:v>
      </x:c>
      <x:c r="I5" s="100" t="str">
        <x:v>Essential Cash &amp; Income Register</x:v>
      </x:c>
      <x:c r="J5" s="100" t="str">
        <x:v>Capture and maintain income sources; cash balances; essential expenses; bill due dates; debt dues; emergency shortfall.</x:v>
      </x:c>
      <x:c r="K5" s="100" t="str">
        <x:v>income sources; cash balances; essential expenses; bill due dates; debt dues; emergency shortfall</x:v>
      </x:c>
      <x:c r="L5" s="100" t="str">
        <x:v>MVP Core</x:v>
      </x:c>
      <x:c r="M5" s="100" t="str">
        <x:f>IF(B5&lt;='Unlock Map'!$B$11,"Enabled","Locked")</x:f>
        <x:v>Enabled</x:v>
      </x:c>
    </x:row>
    <x:row r="6" ht="54" customHeight="1">
      <x:c r="A6" s="105" t="str">
        <x:v>S1-D1-E2</x:v>
      </x:c>
      <x:c r="B6" s="105" t="n">
        <x:v>1</x:v>
      </x:c>
      <x:c r="C6" s="105" t="str">
        <x:v>Surviving</x:v>
      </x:c>
      <x:c r="D6" s="105" t="n">
        <x:v>1</x:v>
      </x:c>
      <x:c r="E6" s="105" t="str">
        <x:v>Finance, Work &amp; Wealth</x:v>
      </x:c>
      <x:c r="F6" s="105" t="n">
        <x:v>2</x:v>
      </x:c>
      <x:c r="G6" s="105" t="str">
        <x:v>Plans</x:v>
      </x:c>
      <x:c r="H6" s="101" t="str">
        <x:v>Essential Cash &amp; Income — Avoid running out of money and keep critical obligations paid.</x:v>
      </x:c>
      <x:c r="I6" s="101" t="str">
        <x:v>Essential Cash &amp; Income Plan</x:v>
      </x:c>
      <x:c r="J6" s="101" t="str">
        <x:v>Set goals, budgets, schedules, thresholds, scenarios, and priorities for essential cash &amp; income.</x:v>
      </x:c>
      <x:c r="K6" s="101" t="str">
        <x:v>income sources; cash balances; essential expenses; bill due dates; debt dues; emergency shortfall</x:v>
      </x:c>
      <x:c r="L6" s="101" t="str">
        <x:v>MVP Core</x:v>
      </x:c>
      <x:c r="M6" s="101" t="str">
        <x:f>IF(B6&lt;='Unlock Map'!$B$11,"Enabled","Locked")</x:f>
        <x:v>Enabled</x:v>
      </x:c>
    </x:row>
    <x:row r="7" ht="54" customHeight="1">
      <x:c r="A7" s="105" t="str">
        <x:v>S1-D1-E3</x:v>
      </x:c>
      <x:c r="B7" s="105" t="n">
        <x:v>1</x:v>
      </x:c>
      <x:c r="C7" s="105" t="str">
        <x:v>Surviving</x:v>
      </x:c>
      <x:c r="D7" s="105" t="n">
        <x:v>1</x:v>
      </x:c>
      <x:c r="E7" s="105" t="str">
        <x:v>Finance, Work &amp; Wealth</x:v>
      </x:c>
      <x:c r="F7" s="105" t="n">
        <x:v>3</x:v>
      </x:c>
      <x:c r="G7" s="105" t="str">
        <x:v>Actions</x:v>
      </x:c>
      <x:c r="H7" s="101" t="str">
        <x:v>Essential Cash &amp; Income — Avoid running out of money and keep critical obligations paid.</x:v>
      </x:c>
      <x:c r="I7" s="101" t="str">
        <x:v>Essential Cash &amp; Income Actions</x:v>
      </x:c>
      <x:c r="J7" s="101" t="str">
        <x:v>Turn the essential cash &amp; income plan into owned tasks, routines, transactions, projects, and follow-ups.</x:v>
      </x:c>
      <x:c r="K7" s="101" t="str">
        <x:v>income sources; cash balances; essential expenses; bill due dates; debt dues; emergency shortfall</x:v>
      </x:c>
      <x:c r="L7" s="101" t="str">
        <x:v>MVP Core</x:v>
      </x:c>
      <x:c r="M7" s="101" t="str">
        <x:f>IF(B7&lt;='Unlock Map'!$B$11,"Enabled","Locked")</x:f>
        <x:v>Enabled</x:v>
      </x:c>
    </x:row>
    <x:row r="8" ht="54" customHeight="1">
      <x:c r="A8" s="105" t="str">
        <x:v>S1-D1-E4</x:v>
      </x:c>
      <x:c r="B8" s="105" t="n">
        <x:v>1</x:v>
      </x:c>
      <x:c r="C8" s="105" t="str">
        <x:v>Surviving</x:v>
      </x:c>
      <x:c r="D8" s="105" t="n">
        <x:v>1</x:v>
      </x:c>
      <x:c r="E8" s="105" t="str">
        <x:v>Finance, Work &amp; Wealth</x:v>
      </x:c>
      <x:c r="F8" s="105" t="n">
        <x:v>4</x:v>
      </x:c>
      <x:c r="G8" s="105" t="str">
        <x:v>Collaboration</x:v>
      </x:c>
      <x:c r="H8" s="101" t="str">
        <x:v>Essential Cash &amp; Income — Avoid running out of money and keep critical obligations paid.</x:v>
      </x:c>
      <x:c r="I8" s="101" t="str">
        <x:v>Essential Cash &amp; Income Coordination</x:v>
      </x:c>
      <x:c r="J8" s="101" t="str">
        <x:v>Share roles, messages, approvals, handoffs, and appropriate external access for essential cash &amp; income.</x:v>
      </x:c>
      <x:c r="K8" s="101" t="str">
        <x:v>income sources; cash balances; essential expenses; bill due dates; debt dues; emergency shortfall</x:v>
      </x:c>
      <x:c r="L8" s="101" t="str">
        <x:v>MVP Core</x:v>
      </x:c>
      <x:c r="M8" s="101" t="str">
        <x:f>IF(B8&lt;='Unlock Map'!$B$11,"Enabled","Locked")</x:f>
        <x:v>Enabled</x:v>
      </x:c>
    </x:row>
    <x:row r="9" ht="54" customHeight="1">
      <x:c r="A9" s="105" t="str">
        <x:v>S1-D1-E5</x:v>
      </x:c>
      <x:c r="B9" s="105" t="n">
        <x:v>1</x:v>
      </x:c>
      <x:c r="C9" s="105" t="str">
        <x:v>Surviving</x:v>
      </x:c>
      <x:c r="D9" s="105" t="n">
        <x:v>1</x:v>
      </x:c>
      <x:c r="E9" s="105" t="str">
        <x:v>Finance, Work &amp; Wealth</x:v>
      </x:c>
      <x:c r="F9" s="105" t="n">
        <x:v>5</x:v>
      </x:c>
      <x:c r="G9" s="105" t="str">
        <x:v>Safeguards</x:v>
      </x:c>
      <x:c r="H9" s="101" t="str">
        <x:v>Essential Cash &amp; Income — Avoid running out of money and keep critical obligations paid.</x:v>
      </x:c>
      <x:c r="I9" s="101" t="str">
        <x:v>Essential Cash &amp; Income Controls</x:v>
      </x:c>
      <x:c r="J9" s="101" t="str">
        <x:v>Apply permissions, limits, alerts, evidence, contingency rules, and exception handling to essential cash &amp; income.</x:v>
      </x:c>
      <x:c r="K9" s="101" t="str">
        <x:v>income sources; cash balances; essential expenses; bill due dates; debt dues; emergency shortfall</x:v>
      </x:c>
      <x:c r="L9" s="101" t="str">
        <x:v>MVP Core</x:v>
      </x:c>
      <x:c r="M9" s="101" t="str">
        <x:f>IF(B9&lt;='Unlock Map'!$B$11,"Enabled","Locked")</x:f>
        <x:v>Enabled</x:v>
      </x:c>
    </x:row>
    <x:row r="10" ht="54" customHeight="1">
      <x:c r="A10" s="105" t="str">
        <x:v>S1-D1-E6</x:v>
      </x:c>
      <x:c r="B10" s="105" t="n">
        <x:v>1</x:v>
      </x:c>
      <x:c r="C10" s="105" t="str">
        <x:v>Surviving</x:v>
      </x:c>
      <x:c r="D10" s="105" t="n">
        <x:v>1</x:v>
      </x:c>
      <x:c r="E10" s="105" t="str">
        <x:v>Finance, Work &amp; Wealth</x:v>
      </x:c>
      <x:c r="F10" s="105" t="n">
        <x:v>6</x:v>
      </x:c>
      <x:c r="G10" s="105" t="str">
        <x:v>Insights</x:v>
      </x:c>
      <x:c r="H10" s="101" t="str">
        <x:v>Essential Cash &amp; Income — Avoid running out of money and keep critical obligations paid.</x:v>
      </x:c>
      <x:c r="I10" s="101" t="str">
        <x:v>Essential Cash &amp; Income Review</x:v>
      </x:c>
      <x:c r="J10" s="101" t="str">
        <x:v>Show status, trends, gaps, risks, outcomes, and next decisions for essential cash &amp; income.</x:v>
      </x:c>
      <x:c r="K10" s="101" t="str">
        <x:v>income sources; cash balances; essential expenses; bill due dates; debt dues; emergency shortfall</x:v>
      </x:c>
      <x:c r="L10" s="101" t="str">
        <x:v>MVP Core</x:v>
      </x:c>
      <x:c r="M10" s="101" t="str">
        <x:f>IF(B10&lt;='Unlock Map'!$B$11,"Enabled","Locked")</x:f>
        <x:v>Enabled</x:v>
      </x:c>
    </x:row>
    <x:row r="11" ht="54" customHeight="1">
      <x:c r="A11" s="105" t="str">
        <x:v>S1-D1-E7</x:v>
      </x:c>
      <x:c r="B11" s="105" t="n">
        <x:v>1</x:v>
      </x:c>
      <x:c r="C11" s="105" t="str">
        <x:v>Surviving</x:v>
      </x:c>
      <x:c r="D11" s="105" t="n">
        <x:v>1</x:v>
      </x:c>
      <x:c r="E11" s="105" t="str">
        <x:v>Finance, Work &amp; Wealth</x:v>
      </x:c>
      <x:c r="F11" s="105" t="n">
        <x:v>7</x:v>
      </x:c>
      <x:c r="G11" s="105" t="str">
        <x:v>Automation</x:v>
      </x:c>
      <x:c r="H11" s="101" t="str">
        <x:v>Essential Cash &amp; Income — Avoid running out of money and keep critical obligations paid.</x:v>
      </x:c>
      <x:c r="I11" s="101" t="str">
        <x:v>Essential Cash &amp; Income Automation</x:v>
      </x:c>
      <x:c r="J11" s="101" t="str">
        <x:v>Use recurring rules, integrations, recommendations, and predictive reminders for essential cash &amp; income.</x:v>
      </x:c>
      <x:c r="K11" s="101" t="str">
        <x:v>income sources; cash balances; essential expenses; bill due dates; debt dues; emergency shortfall</x:v>
      </x:c>
      <x:c r="L11" s="101" t="str">
        <x:v>MVP Core</x:v>
      </x:c>
      <x:c r="M11" s="101" t="str">
        <x:f>IF(B11&lt;='Unlock Map'!$B$11,"Enabled","Locked")</x:f>
        <x:v>Enabled</x:v>
      </x:c>
    </x:row>
    <x:row r="12" ht="54" customHeight="1">
      <x:c r="A12" s="105" t="str">
        <x:v>S1-D2-E1</x:v>
      </x:c>
      <x:c r="B12" s="105" t="n">
        <x:v>1</x:v>
      </x:c>
      <x:c r="C12" s="105" t="str">
        <x:v>Surviving</x:v>
      </x:c>
      <x:c r="D12" s="105" t="n">
        <x:v>2</x:v>
      </x:c>
      <x:c r="E12" s="105" t="str">
        <x:v>Health &amp; Care</x:v>
      </x:c>
      <x:c r="F12" s="105" t="n">
        <x:v>1</x:v>
      </x:c>
      <x:c r="G12" s="105" t="str">
        <x:v>Records</x:v>
      </x:c>
      <x:c r="H12" s="101" t="str">
        <x:v>Urgent Health &amp; Treatment — Prevent avoidable harm and maintain access to essential treatment.</x:v>
      </x:c>
      <x:c r="I12" s="101" t="str">
        <x:v>Urgent Health &amp; Treatment Register</x:v>
      </x:c>
      <x:c r="J12" s="101" t="str">
        <x:v>Capture and maintain members; conditions; allergies; medicines; urgent appointments; providers; emergency health costs.</x:v>
      </x:c>
      <x:c r="K12" s="101" t="str">
        <x:v>members; conditions; allergies; medicines; urgent appointments; providers; emergency health costs</x:v>
      </x:c>
      <x:c r="L12" s="101" t="str">
        <x:v>MVP Core</x:v>
      </x:c>
      <x:c r="M12" s="101" t="str">
        <x:f>IF(B12&lt;='Unlock Map'!$B$11,"Enabled","Locked")</x:f>
        <x:v>Enabled</x:v>
      </x:c>
    </x:row>
    <x:row r="13" ht="54" customHeight="1">
      <x:c r="A13" s="105" t="str">
        <x:v>S1-D2-E2</x:v>
      </x:c>
      <x:c r="B13" s="105" t="n">
        <x:v>1</x:v>
      </x:c>
      <x:c r="C13" s="105" t="str">
        <x:v>Surviving</x:v>
      </x:c>
      <x:c r="D13" s="105" t="n">
        <x:v>2</x:v>
      </x:c>
      <x:c r="E13" s="105" t="str">
        <x:v>Health &amp; Care</x:v>
      </x:c>
      <x:c r="F13" s="105" t="n">
        <x:v>2</x:v>
      </x:c>
      <x:c r="G13" s="105" t="str">
        <x:v>Plans</x:v>
      </x:c>
      <x:c r="H13" s="101" t="str">
        <x:v>Urgent Health &amp; Treatment — Prevent avoidable harm and maintain access to essential treatment.</x:v>
      </x:c>
      <x:c r="I13" s="101" t="str">
        <x:v>Urgent Health &amp; Treatment Plan</x:v>
      </x:c>
      <x:c r="J13" s="101" t="str">
        <x:v>Set goals, budgets, schedules, thresholds, scenarios, and priorities for urgent health &amp; treatment.</x:v>
      </x:c>
      <x:c r="K13" s="101" t="str">
        <x:v>members; conditions; allergies; medicines; urgent appointments; providers; emergency health costs</x:v>
      </x:c>
      <x:c r="L13" s="101" t="str">
        <x:v>MVP Core</x:v>
      </x:c>
      <x:c r="M13" s="101" t="str">
        <x:f>IF(B13&lt;='Unlock Map'!$B$11,"Enabled","Locked")</x:f>
        <x:v>Enabled</x:v>
      </x:c>
    </x:row>
    <x:row r="14" ht="54" customHeight="1">
      <x:c r="A14" s="105" t="str">
        <x:v>S1-D2-E3</x:v>
      </x:c>
      <x:c r="B14" s="105" t="n">
        <x:v>1</x:v>
      </x:c>
      <x:c r="C14" s="105" t="str">
        <x:v>Surviving</x:v>
      </x:c>
      <x:c r="D14" s="105" t="n">
        <x:v>2</x:v>
      </x:c>
      <x:c r="E14" s="105" t="str">
        <x:v>Health &amp; Care</x:v>
      </x:c>
      <x:c r="F14" s="105" t="n">
        <x:v>3</x:v>
      </x:c>
      <x:c r="G14" s="105" t="str">
        <x:v>Actions</x:v>
      </x:c>
      <x:c r="H14" s="101" t="str">
        <x:v>Urgent Health &amp; Treatment — Prevent avoidable harm and maintain access to essential treatment.</x:v>
      </x:c>
      <x:c r="I14" s="101" t="str">
        <x:v>Urgent Health &amp; Treatment Actions</x:v>
      </x:c>
      <x:c r="J14" s="101" t="str">
        <x:v>Turn the urgent health &amp; treatment plan into owned tasks, routines, transactions, projects, and follow-ups.</x:v>
      </x:c>
      <x:c r="K14" s="101" t="str">
        <x:v>members; conditions; allergies; medicines; urgent appointments; providers; emergency health costs</x:v>
      </x:c>
      <x:c r="L14" s="101" t="str">
        <x:v>MVP Core</x:v>
      </x:c>
      <x:c r="M14" s="101" t="str">
        <x:f>IF(B14&lt;='Unlock Map'!$B$11,"Enabled","Locked")</x:f>
        <x:v>Enabled</x:v>
      </x:c>
    </x:row>
    <x:row r="15" ht="54" customHeight="1">
      <x:c r="A15" s="105" t="str">
        <x:v>S1-D2-E4</x:v>
      </x:c>
      <x:c r="B15" s="105" t="n">
        <x:v>1</x:v>
      </x:c>
      <x:c r="C15" s="105" t="str">
        <x:v>Surviving</x:v>
      </x:c>
      <x:c r="D15" s="105" t="n">
        <x:v>2</x:v>
      </x:c>
      <x:c r="E15" s="105" t="str">
        <x:v>Health &amp; Care</x:v>
      </x:c>
      <x:c r="F15" s="105" t="n">
        <x:v>4</x:v>
      </x:c>
      <x:c r="G15" s="105" t="str">
        <x:v>Collaboration</x:v>
      </x:c>
      <x:c r="H15" s="101" t="str">
        <x:v>Urgent Health &amp; Treatment — Prevent avoidable harm and maintain access to essential treatment.</x:v>
      </x:c>
      <x:c r="I15" s="101" t="str">
        <x:v>Urgent Health &amp; Treatment Coordination</x:v>
      </x:c>
      <x:c r="J15" s="101" t="str">
        <x:v>Share roles, messages, approvals, handoffs, and appropriate external access for urgent health &amp; treatment.</x:v>
      </x:c>
      <x:c r="K15" s="101" t="str">
        <x:v>members; conditions; allergies; medicines; urgent appointments; providers; emergency health costs</x:v>
      </x:c>
      <x:c r="L15" s="101" t="str">
        <x:v>MVP Core</x:v>
      </x:c>
      <x:c r="M15" s="101" t="str">
        <x:f>IF(B15&lt;='Unlock Map'!$B$11,"Enabled","Locked")</x:f>
        <x:v>Enabled</x:v>
      </x:c>
    </x:row>
    <x:row r="16" ht="54" customHeight="1">
      <x:c r="A16" s="105" t="str">
        <x:v>S1-D2-E5</x:v>
      </x:c>
      <x:c r="B16" s="105" t="n">
        <x:v>1</x:v>
      </x:c>
      <x:c r="C16" s="105" t="str">
        <x:v>Surviving</x:v>
      </x:c>
      <x:c r="D16" s="105" t="n">
        <x:v>2</x:v>
      </x:c>
      <x:c r="E16" s="105" t="str">
        <x:v>Health &amp; Care</x:v>
      </x:c>
      <x:c r="F16" s="105" t="n">
        <x:v>5</x:v>
      </x:c>
      <x:c r="G16" s="105" t="str">
        <x:v>Safeguards</x:v>
      </x:c>
      <x:c r="H16" s="101" t="str">
        <x:v>Urgent Health &amp; Treatment — Prevent avoidable harm and maintain access to essential treatment.</x:v>
      </x:c>
      <x:c r="I16" s="101" t="str">
        <x:v>Urgent Health &amp; Treatment Controls</x:v>
      </x:c>
      <x:c r="J16" s="101" t="str">
        <x:v>Apply permissions, limits, alerts, evidence, contingency rules, and exception handling to urgent health &amp; treatment.</x:v>
      </x:c>
      <x:c r="K16" s="101" t="str">
        <x:v>members; conditions; allergies; medicines; urgent appointments; providers; emergency health costs</x:v>
      </x:c>
      <x:c r="L16" s="101" t="str">
        <x:v>MVP Core</x:v>
      </x:c>
      <x:c r="M16" s="101" t="str">
        <x:f>IF(B16&lt;='Unlock Map'!$B$11,"Enabled","Locked")</x:f>
        <x:v>Enabled</x:v>
      </x:c>
    </x:row>
    <x:row r="17" ht="54" customHeight="1">
      <x:c r="A17" s="105" t="str">
        <x:v>S1-D2-E6</x:v>
      </x:c>
      <x:c r="B17" s="105" t="n">
        <x:v>1</x:v>
      </x:c>
      <x:c r="C17" s="105" t="str">
        <x:v>Surviving</x:v>
      </x:c>
      <x:c r="D17" s="105" t="n">
        <x:v>2</x:v>
      </x:c>
      <x:c r="E17" s="105" t="str">
        <x:v>Health &amp; Care</x:v>
      </x:c>
      <x:c r="F17" s="105" t="n">
        <x:v>6</x:v>
      </x:c>
      <x:c r="G17" s="105" t="str">
        <x:v>Insights</x:v>
      </x:c>
      <x:c r="H17" s="101" t="str">
        <x:v>Urgent Health &amp; Treatment — Prevent avoidable harm and maintain access to essential treatment.</x:v>
      </x:c>
      <x:c r="I17" s="101" t="str">
        <x:v>Urgent Health &amp; Treatment Review</x:v>
      </x:c>
      <x:c r="J17" s="101" t="str">
        <x:v>Show status, trends, gaps, risks, outcomes, and next decisions for urgent health &amp; treatment.</x:v>
      </x:c>
      <x:c r="K17" s="101" t="str">
        <x:v>members; conditions; allergies; medicines; urgent appointments; providers; emergency health costs</x:v>
      </x:c>
      <x:c r="L17" s="101" t="str">
        <x:v>MVP Core</x:v>
      </x:c>
      <x:c r="M17" s="101" t="str">
        <x:f>IF(B17&lt;='Unlock Map'!$B$11,"Enabled","Locked")</x:f>
        <x:v>Enabled</x:v>
      </x:c>
    </x:row>
    <x:row r="18" ht="54" customHeight="1">
      <x:c r="A18" s="105" t="str">
        <x:v>S1-D2-E7</x:v>
      </x:c>
      <x:c r="B18" s="105" t="n">
        <x:v>1</x:v>
      </x:c>
      <x:c r="C18" s="105" t="str">
        <x:v>Surviving</x:v>
      </x:c>
      <x:c r="D18" s="105" t="n">
        <x:v>2</x:v>
      </x:c>
      <x:c r="E18" s="105" t="str">
        <x:v>Health &amp; Care</x:v>
      </x:c>
      <x:c r="F18" s="105" t="n">
        <x:v>7</x:v>
      </x:c>
      <x:c r="G18" s="105" t="str">
        <x:v>Automation</x:v>
      </x:c>
      <x:c r="H18" s="101" t="str">
        <x:v>Urgent Health &amp; Treatment — Prevent avoidable harm and maintain access to essential treatment.</x:v>
      </x:c>
      <x:c r="I18" s="101" t="str">
        <x:v>Urgent Health &amp; Treatment Automation</x:v>
      </x:c>
      <x:c r="J18" s="101" t="str">
        <x:v>Use recurring rules, integrations, recommendations, and predictive reminders for urgent health &amp; treatment.</x:v>
      </x:c>
      <x:c r="K18" s="101" t="str">
        <x:v>members; conditions; allergies; medicines; urgent appointments; providers; emergency health costs</x:v>
      </x:c>
      <x:c r="L18" s="101" t="str">
        <x:v>MVP Core</x:v>
      </x:c>
      <x:c r="M18" s="101" t="str">
        <x:f>IF(B18&lt;='Unlock Map'!$B$11,"Enabled","Locked")</x:f>
        <x:v>Enabled</x:v>
      </x:c>
    </x:row>
    <x:row r="19" ht="54" customHeight="1">
      <x:c r="A19" s="105" t="str">
        <x:v>S1-D3-E1</x:v>
      </x:c>
      <x:c r="B19" s="105" t="n">
        <x:v>1</x:v>
      </x:c>
      <x:c r="C19" s="105" t="str">
        <x:v>Surviving</x:v>
      </x:c>
      <x:c r="D19" s="105" t="n">
        <x:v>3</x:v>
      </x:c>
      <x:c r="E19" s="105" t="str">
        <x:v>Education, Skills &amp; Knowledge</x:v>
      </x:c>
      <x:c r="F19" s="105" t="n">
        <x:v>1</x:v>
      </x:c>
      <x:c r="G19" s="105" t="str">
        <x:v>Records</x:v>
      </x:c>
      <x:c r="H19" s="101" t="str">
        <x:v>Basic Education Continuity — Keep children enrolled, attending, literate, numerate, and supplied.</x:v>
      </x:c>
      <x:c r="I19" s="101" t="str">
        <x:v>Basic Education Continuity Register</x:v>
      </x:c>
      <x:c r="J19" s="101" t="str">
        <x:v>Capture and maintain schools; students; attendance; fees; textbooks; homework; literacy and numeracy needs.</x:v>
      </x:c>
      <x:c r="K19" s="101" t="str">
        <x:v>schools; students; attendance; fees; textbooks; homework; literacy and numeracy needs</x:v>
      </x:c>
      <x:c r="L19" s="101" t="str">
        <x:v>MVP Core</x:v>
      </x:c>
      <x:c r="M19" s="101" t="str">
        <x:f>IF(B19&lt;='Unlock Map'!$B$11,"Enabled","Locked")</x:f>
        <x:v>Enabled</x:v>
      </x:c>
    </x:row>
    <x:row r="20" ht="54" customHeight="1">
      <x:c r="A20" s="105" t="str">
        <x:v>S1-D3-E2</x:v>
      </x:c>
      <x:c r="B20" s="105" t="n">
        <x:v>1</x:v>
      </x:c>
      <x:c r="C20" s="105" t="str">
        <x:v>Surviving</x:v>
      </x:c>
      <x:c r="D20" s="105" t="n">
        <x:v>3</x:v>
      </x:c>
      <x:c r="E20" s="105" t="str">
        <x:v>Education, Skills &amp; Knowledge</x:v>
      </x:c>
      <x:c r="F20" s="105" t="n">
        <x:v>2</x:v>
      </x:c>
      <x:c r="G20" s="105" t="str">
        <x:v>Plans</x:v>
      </x:c>
      <x:c r="H20" s="101" t="str">
        <x:v>Basic Education Continuity — Keep children enrolled, attending, literate, numerate, and supplied.</x:v>
      </x:c>
      <x:c r="I20" s="101" t="str">
        <x:v>Basic Education Continuity Plan</x:v>
      </x:c>
      <x:c r="J20" s="101" t="str">
        <x:v>Set goals, budgets, schedules, thresholds, scenarios, and priorities for basic education continuity.</x:v>
      </x:c>
      <x:c r="K20" s="101" t="str">
        <x:v>schools; students; attendance; fees; textbooks; homework; literacy and numeracy needs</x:v>
      </x:c>
      <x:c r="L20" s="101" t="str">
        <x:v>MVP Core</x:v>
      </x:c>
      <x:c r="M20" s="101" t="str">
        <x:f>IF(B20&lt;='Unlock Map'!$B$11,"Enabled","Locked")</x:f>
        <x:v>Enabled</x:v>
      </x:c>
    </x:row>
    <x:row r="21" ht="54" customHeight="1">
      <x:c r="A21" s="105" t="str">
        <x:v>S1-D3-E3</x:v>
      </x:c>
      <x:c r="B21" s="105" t="n">
        <x:v>1</x:v>
      </x:c>
      <x:c r="C21" s="105" t="str">
        <x:v>Surviving</x:v>
      </x:c>
      <x:c r="D21" s="105" t="n">
        <x:v>3</x:v>
      </x:c>
      <x:c r="E21" s="105" t="str">
        <x:v>Education, Skills &amp; Knowledge</x:v>
      </x:c>
      <x:c r="F21" s="105" t="n">
        <x:v>3</x:v>
      </x:c>
      <x:c r="G21" s="105" t="str">
        <x:v>Actions</x:v>
      </x:c>
      <x:c r="H21" s="101" t="str">
        <x:v>Basic Education Continuity — Keep children enrolled, attending, literate, numerate, and supplied.</x:v>
      </x:c>
      <x:c r="I21" s="101" t="str">
        <x:v>Basic Education Continuity Actions</x:v>
      </x:c>
      <x:c r="J21" s="101" t="str">
        <x:v>Turn the basic education continuity plan into owned tasks, routines, transactions, projects, and follow-ups.</x:v>
      </x:c>
      <x:c r="K21" s="101" t="str">
        <x:v>schools; students; attendance; fees; textbooks; homework; literacy and numeracy needs</x:v>
      </x:c>
      <x:c r="L21" s="101" t="str">
        <x:v>MVP Core</x:v>
      </x:c>
      <x:c r="M21" s="101" t="str">
        <x:f>IF(B21&lt;='Unlock Map'!$B$11,"Enabled","Locked")</x:f>
        <x:v>Enabled</x:v>
      </x:c>
    </x:row>
    <x:row r="22" ht="54" customHeight="1">
      <x:c r="A22" s="105" t="str">
        <x:v>S1-D3-E4</x:v>
      </x:c>
      <x:c r="B22" s="105" t="n">
        <x:v>1</x:v>
      </x:c>
      <x:c r="C22" s="105" t="str">
        <x:v>Surviving</x:v>
      </x:c>
      <x:c r="D22" s="105" t="n">
        <x:v>3</x:v>
      </x:c>
      <x:c r="E22" s="105" t="str">
        <x:v>Education, Skills &amp; Knowledge</x:v>
      </x:c>
      <x:c r="F22" s="105" t="n">
        <x:v>4</x:v>
      </x:c>
      <x:c r="G22" s="105" t="str">
        <x:v>Collaboration</x:v>
      </x:c>
      <x:c r="H22" s="101" t="str">
        <x:v>Basic Education Continuity — Keep children enrolled, attending, literate, numerate, and supplied.</x:v>
      </x:c>
      <x:c r="I22" s="101" t="str">
        <x:v>Basic Education Continuity Coordination</x:v>
      </x:c>
      <x:c r="J22" s="101" t="str">
        <x:v>Share roles, messages, approvals, handoffs, and appropriate external access for basic education continuity.</x:v>
      </x:c>
      <x:c r="K22" s="101" t="str">
        <x:v>schools; students; attendance; fees; textbooks; homework; literacy and numeracy needs</x:v>
      </x:c>
      <x:c r="L22" s="101" t="str">
        <x:v>MVP Core</x:v>
      </x:c>
      <x:c r="M22" s="101" t="str">
        <x:f>IF(B22&lt;='Unlock Map'!$B$11,"Enabled","Locked")</x:f>
        <x:v>Enabled</x:v>
      </x:c>
    </x:row>
    <x:row r="23" ht="54" customHeight="1">
      <x:c r="A23" s="105" t="str">
        <x:v>S1-D3-E5</x:v>
      </x:c>
      <x:c r="B23" s="105" t="n">
        <x:v>1</x:v>
      </x:c>
      <x:c r="C23" s="105" t="str">
        <x:v>Surviving</x:v>
      </x:c>
      <x:c r="D23" s="105" t="n">
        <x:v>3</x:v>
      </x:c>
      <x:c r="E23" s="105" t="str">
        <x:v>Education, Skills &amp; Knowledge</x:v>
      </x:c>
      <x:c r="F23" s="105" t="n">
        <x:v>5</x:v>
      </x:c>
      <x:c r="G23" s="105" t="str">
        <x:v>Safeguards</x:v>
      </x:c>
      <x:c r="H23" s="101" t="str">
        <x:v>Basic Education Continuity — Keep children enrolled, attending, literate, numerate, and supplied.</x:v>
      </x:c>
      <x:c r="I23" s="101" t="str">
        <x:v>Basic Education Continuity Controls</x:v>
      </x:c>
      <x:c r="J23" s="101" t="str">
        <x:v>Apply permissions, limits, alerts, evidence, contingency rules, and exception handling to basic education continuity.</x:v>
      </x:c>
      <x:c r="K23" s="101" t="str">
        <x:v>schools; students; attendance; fees; textbooks; homework; literacy and numeracy needs</x:v>
      </x:c>
      <x:c r="L23" s="101" t="str">
        <x:v>MVP Core</x:v>
      </x:c>
      <x:c r="M23" s="101" t="str">
        <x:f>IF(B23&lt;='Unlock Map'!$B$11,"Enabled","Locked")</x:f>
        <x:v>Enabled</x:v>
      </x:c>
    </x:row>
    <x:row r="24" ht="54" customHeight="1">
      <x:c r="A24" s="105" t="str">
        <x:v>S1-D3-E6</x:v>
      </x:c>
      <x:c r="B24" s="105" t="n">
        <x:v>1</x:v>
      </x:c>
      <x:c r="C24" s="105" t="str">
        <x:v>Surviving</x:v>
      </x:c>
      <x:c r="D24" s="105" t="n">
        <x:v>3</x:v>
      </x:c>
      <x:c r="E24" s="105" t="str">
        <x:v>Education, Skills &amp; Knowledge</x:v>
      </x:c>
      <x:c r="F24" s="105" t="n">
        <x:v>6</x:v>
      </x:c>
      <x:c r="G24" s="105" t="str">
        <x:v>Insights</x:v>
      </x:c>
      <x:c r="H24" s="101" t="str">
        <x:v>Basic Education Continuity — Keep children enrolled, attending, literate, numerate, and supplied.</x:v>
      </x:c>
      <x:c r="I24" s="101" t="str">
        <x:v>Basic Education Continuity Review</x:v>
      </x:c>
      <x:c r="J24" s="101" t="str">
        <x:v>Show status, trends, gaps, risks, outcomes, and next decisions for basic education continuity.</x:v>
      </x:c>
      <x:c r="K24" s="101" t="str">
        <x:v>schools; students; attendance; fees; textbooks; homework; literacy and numeracy needs</x:v>
      </x:c>
      <x:c r="L24" s="101" t="str">
        <x:v>MVP Core</x:v>
      </x:c>
      <x:c r="M24" s="101" t="str">
        <x:f>IF(B24&lt;='Unlock Map'!$B$11,"Enabled","Locked")</x:f>
        <x:v>Enabled</x:v>
      </x:c>
    </x:row>
    <x:row r="25" ht="54" customHeight="1">
      <x:c r="A25" s="105" t="str">
        <x:v>S1-D3-E7</x:v>
      </x:c>
      <x:c r="B25" s="105" t="n">
        <x:v>1</x:v>
      </x:c>
      <x:c r="C25" s="105" t="str">
        <x:v>Surviving</x:v>
      </x:c>
      <x:c r="D25" s="105" t="n">
        <x:v>3</x:v>
      </x:c>
      <x:c r="E25" s="105" t="str">
        <x:v>Education, Skills &amp; Knowledge</x:v>
      </x:c>
      <x:c r="F25" s="105" t="n">
        <x:v>7</x:v>
      </x:c>
      <x:c r="G25" s="105" t="str">
        <x:v>Automation</x:v>
      </x:c>
      <x:c r="H25" s="101" t="str">
        <x:v>Basic Education Continuity — Keep children enrolled, attending, literate, numerate, and supplied.</x:v>
      </x:c>
      <x:c r="I25" s="101" t="str">
        <x:v>Basic Education Continuity Automation</x:v>
      </x:c>
      <x:c r="J25" s="101" t="str">
        <x:v>Use recurring rules, integrations, recommendations, and predictive reminders for basic education continuity.</x:v>
      </x:c>
      <x:c r="K25" s="101" t="str">
        <x:v>schools; students; attendance; fees; textbooks; homework; literacy and numeracy needs</x:v>
      </x:c>
      <x:c r="L25" s="101" t="str">
        <x:v>MVP Core</x:v>
      </x:c>
      <x:c r="M25" s="101" t="str">
        <x:f>IF(B25&lt;='Unlock Map'!$B$11,"Enabled","Locked")</x:f>
        <x:v>Enabled</x:v>
      </x:c>
    </x:row>
    <x:row r="26" ht="54" customHeight="1">
      <x:c r="A26" s="105" t="str">
        <x:v>S1-D4-E1</x:v>
      </x:c>
      <x:c r="B26" s="105" t="n">
        <x:v>1</x:v>
      </x:c>
      <x:c r="C26" s="105" t="str">
        <x:v>Surviving</x:v>
      </x:c>
      <x:c r="D26" s="105" t="n">
        <x:v>4</x:v>
      </x:c>
      <x:c r="E26" s="105" t="str">
        <x:v>Home, Utilities &amp; Assets</x:v>
      </x:c>
      <x:c r="F26" s="105" t="n">
        <x:v>1</x:v>
      </x:c>
      <x:c r="G26" s="105" t="str">
        <x:v>Records</x:v>
      </x:c>
      <x:c r="H26" s="101" t="str">
        <x:v>Shelter &amp; Utilities — Keep safe shelter and essential utilities continuously available.</x:v>
      </x:c>
      <x:c r="I26" s="101" t="str">
        <x:v>Shelter &amp; Utilities Register</x:v>
      </x:c>
      <x:c r="J26" s="101" t="str">
        <x:v>Capture and maintain home or lease; rent or EMI; electricity; water; gas; sanitation; urgent repairs.</x:v>
      </x:c>
      <x:c r="K26" s="101" t="str">
        <x:v>home or lease; rent or EMI; electricity; water; gas; sanitation; urgent repairs</x:v>
      </x:c>
      <x:c r="L26" s="101" t="str">
        <x:v>MVP Core</x:v>
      </x:c>
      <x:c r="M26" s="101" t="str">
        <x:f>IF(B26&lt;='Unlock Map'!$B$11,"Enabled","Locked")</x:f>
        <x:v>Enabled</x:v>
      </x:c>
    </x:row>
    <x:row r="27" ht="54" customHeight="1">
      <x:c r="A27" s="105" t="str">
        <x:v>S1-D4-E2</x:v>
      </x:c>
      <x:c r="B27" s="105" t="n">
        <x:v>1</x:v>
      </x:c>
      <x:c r="C27" s="105" t="str">
        <x:v>Surviving</x:v>
      </x:c>
      <x:c r="D27" s="105" t="n">
        <x:v>4</x:v>
      </x:c>
      <x:c r="E27" s="105" t="str">
        <x:v>Home, Utilities &amp; Assets</x:v>
      </x:c>
      <x:c r="F27" s="105" t="n">
        <x:v>2</x:v>
      </x:c>
      <x:c r="G27" s="105" t="str">
        <x:v>Plans</x:v>
      </x:c>
      <x:c r="H27" s="101" t="str">
        <x:v>Shelter &amp; Utilities — Keep safe shelter and essential utilities continuously available.</x:v>
      </x:c>
      <x:c r="I27" s="101" t="str">
        <x:v>Shelter &amp; Utilities Plan</x:v>
      </x:c>
      <x:c r="J27" s="101" t="str">
        <x:v>Set goals, budgets, schedules, thresholds, scenarios, and priorities for shelter &amp; utilities.</x:v>
      </x:c>
      <x:c r="K27" s="101" t="str">
        <x:v>home or lease; rent or EMI; electricity; water; gas; sanitation; urgent repairs</x:v>
      </x:c>
      <x:c r="L27" s="101" t="str">
        <x:v>MVP Core</x:v>
      </x:c>
      <x:c r="M27" s="101" t="str">
        <x:f>IF(B27&lt;='Unlock Map'!$B$11,"Enabled","Locked")</x:f>
        <x:v>Enabled</x:v>
      </x:c>
    </x:row>
    <x:row r="28" ht="54" customHeight="1">
      <x:c r="A28" s="105" t="str">
        <x:v>S1-D4-E3</x:v>
      </x:c>
      <x:c r="B28" s="105" t="n">
        <x:v>1</x:v>
      </x:c>
      <x:c r="C28" s="105" t="str">
        <x:v>Surviving</x:v>
      </x:c>
      <x:c r="D28" s="105" t="n">
        <x:v>4</x:v>
      </x:c>
      <x:c r="E28" s="105" t="str">
        <x:v>Home, Utilities &amp; Assets</x:v>
      </x:c>
      <x:c r="F28" s="105" t="n">
        <x:v>3</x:v>
      </x:c>
      <x:c r="G28" s="105" t="str">
        <x:v>Actions</x:v>
      </x:c>
      <x:c r="H28" s="101" t="str">
        <x:v>Shelter &amp; Utilities — Keep safe shelter and essential utilities continuously available.</x:v>
      </x:c>
      <x:c r="I28" s="101" t="str">
        <x:v>Shelter &amp; Utilities Actions</x:v>
      </x:c>
      <x:c r="J28" s="101" t="str">
        <x:v>Turn the shelter &amp; utilities plan into owned tasks, routines, transactions, projects, and follow-ups.</x:v>
      </x:c>
      <x:c r="K28" s="101" t="str">
        <x:v>home or lease; rent or EMI; electricity; water; gas; sanitation; urgent repairs</x:v>
      </x:c>
      <x:c r="L28" s="101" t="str">
        <x:v>MVP Core</x:v>
      </x:c>
      <x:c r="M28" s="101" t="str">
        <x:f>IF(B28&lt;='Unlock Map'!$B$11,"Enabled","Locked")</x:f>
        <x:v>Enabled</x:v>
      </x:c>
    </x:row>
    <x:row r="29" ht="54" customHeight="1">
      <x:c r="A29" s="105" t="str">
        <x:v>S1-D4-E4</x:v>
      </x:c>
      <x:c r="B29" s="105" t="n">
        <x:v>1</x:v>
      </x:c>
      <x:c r="C29" s="105" t="str">
        <x:v>Surviving</x:v>
      </x:c>
      <x:c r="D29" s="105" t="n">
        <x:v>4</x:v>
      </x:c>
      <x:c r="E29" s="105" t="str">
        <x:v>Home, Utilities &amp; Assets</x:v>
      </x:c>
      <x:c r="F29" s="105" t="n">
        <x:v>4</x:v>
      </x:c>
      <x:c r="G29" s="105" t="str">
        <x:v>Collaboration</x:v>
      </x:c>
      <x:c r="H29" s="101" t="str">
        <x:v>Shelter &amp; Utilities — Keep safe shelter and essential utilities continuously available.</x:v>
      </x:c>
      <x:c r="I29" s="101" t="str">
        <x:v>Shelter &amp; Utilities Coordination</x:v>
      </x:c>
      <x:c r="J29" s="101" t="str">
        <x:v>Share roles, messages, approvals, handoffs, and appropriate external access for shelter &amp; utilities.</x:v>
      </x:c>
      <x:c r="K29" s="101" t="str">
        <x:v>home or lease; rent or EMI; electricity; water; gas; sanitation; urgent repairs</x:v>
      </x:c>
      <x:c r="L29" s="101" t="str">
        <x:v>MVP Core</x:v>
      </x:c>
      <x:c r="M29" s="101" t="str">
        <x:f>IF(B29&lt;='Unlock Map'!$B$11,"Enabled","Locked")</x:f>
        <x:v>Enabled</x:v>
      </x:c>
    </x:row>
    <x:row r="30" ht="54" customHeight="1">
      <x:c r="A30" s="105" t="str">
        <x:v>S1-D4-E5</x:v>
      </x:c>
      <x:c r="B30" s="105" t="n">
        <x:v>1</x:v>
      </x:c>
      <x:c r="C30" s="105" t="str">
        <x:v>Surviving</x:v>
      </x:c>
      <x:c r="D30" s="105" t="n">
        <x:v>4</x:v>
      </x:c>
      <x:c r="E30" s="105" t="str">
        <x:v>Home, Utilities &amp; Assets</x:v>
      </x:c>
      <x:c r="F30" s="105" t="n">
        <x:v>5</x:v>
      </x:c>
      <x:c r="G30" s="105" t="str">
        <x:v>Safeguards</x:v>
      </x:c>
      <x:c r="H30" s="101" t="str">
        <x:v>Shelter &amp; Utilities — Keep safe shelter and essential utilities continuously available.</x:v>
      </x:c>
      <x:c r="I30" s="101" t="str">
        <x:v>Shelter &amp; Utilities Controls</x:v>
      </x:c>
      <x:c r="J30" s="101" t="str">
        <x:v>Apply permissions, limits, alerts, evidence, contingency rules, and exception handling to shelter &amp; utilities.</x:v>
      </x:c>
      <x:c r="K30" s="101" t="str">
        <x:v>home or lease; rent or EMI; electricity; water; gas; sanitation; urgent repairs</x:v>
      </x:c>
      <x:c r="L30" s="101" t="str">
        <x:v>MVP Core</x:v>
      </x:c>
      <x:c r="M30" s="101" t="str">
        <x:f>IF(B30&lt;='Unlock Map'!$B$11,"Enabled","Locked")</x:f>
        <x:v>Enabled</x:v>
      </x:c>
    </x:row>
    <x:row r="31" ht="54" customHeight="1">
      <x:c r="A31" s="105" t="str">
        <x:v>S1-D4-E6</x:v>
      </x:c>
      <x:c r="B31" s="105" t="n">
        <x:v>1</x:v>
      </x:c>
      <x:c r="C31" s="105" t="str">
        <x:v>Surviving</x:v>
      </x:c>
      <x:c r="D31" s="105" t="n">
        <x:v>4</x:v>
      </x:c>
      <x:c r="E31" s="105" t="str">
        <x:v>Home, Utilities &amp; Assets</x:v>
      </x:c>
      <x:c r="F31" s="105" t="n">
        <x:v>6</x:v>
      </x:c>
      <x:c r="G31" s="105" t="str">
        <x:v>Insights</x:v>
      </x:c>
      <x:c r="H31" s="101" t="str">
        <x:v>Shelter &amp; Utilities — Keep safe shelter and essential utilities continuously available.</x:v>
      </x:c>
      <x:c r="I31" s="101" t="str">
        <x:v>Shelter &amp; Utilities Review</x:v>
      </x:c>
      <x:c r="J31" s="101" t="str">
        <x:v>Show status, trends, gaps, risks, outcomes, and next decisions for shelter &amp; utilities.</x:v>
      </x:c>
      <x:c r="K31" s="101" t="str">
        <x:v>home or lease; rent or EMI; electricity; water; gas; sanitation; urgent repairs</x:v>
      </x:c>
      <x:c r="L31" s="101" t="str">
        <x:v>MVP Core</x:v>
      </x:c>
      <x:c r="M31" s="101" t="str">
        <x:f>IF(B31&lt;='Unlock Map'!$B$11,"Enabled","Locked")</x:f>
        <x:v>Enabled</x:v>
      </x:c>
    </x:row>
    <x:row r="32" ht="54" customHeight="1">
      <x:c r="A32" s="105" t="str">
        <x:v>S1-D4-E7</x:v>
      </x:c>
      <x:c r="B32" s="105" t="n">
        <x:v>1</x:v>
      </x:c>
      <x:c r="C32" s="105" t="str">
        <x:v>Surviving</x:v>
      </x:c>
      <x:c r="D32" s="105" t="n">
        <x:v>4</x:v>
      </x:c>
      <x:c r="E32" s="105" t="str">
        <x:v>Home, Utilities &amp; Assets</x:v>
      </x:c>
      <x:c r="F32" s="105" t="n">
        <x:v>7</x:v>
      </x:c>
      <x:c r="G32" s="105" t="str">
        <x:v>Automation</x:v>
      </x:c>
      <x:c r="H32" s="101" t="str">
        <x:v>Shelter &amp; Utilities — Keep safe shelter and essential utilities continuously available.</x:v>
      </x:c>
      <x:c r="I32" s="101" t="str">
        <x:v>Shelter &amp; Utilities Automation</x:v>
      </x:c>
      <x:c r="J32" s="101" t="str">
        <x:v>Use recurring rules, integrations, recommendations, and predictive reminders for shelter &amp; utilities.</x:v>
      </x:c>
      <x:c r="K32" s="101" t="str">
        <x:v>home or lease; rent or EMI; electricity; water; gas; sanitation; urgent repairs</x:v>
      </x:c>
      <x:c r="L32" s="101" t="str">
        <x:v>MVP Core</x:v>
      </x:c>
      <x:c r="M32" s="101" t="str">
        <x:f>IF(B32&lt;='Unlock Map'!$B$11,"Enabled","Locked")</x:f>
        <x:v>Enabled</x:v>
      </x:c>
    </x:row>
    <x:row r="33" ht="54" customHeight="1">
      <x:c r="A33" s="105" t="str">
        <x:v>S1-D5-E1</x:v>
      </x:c>
      <x:c r="B33" s="105" t="n">
        <x:v>1</x:v>
      </x:c>
      <x:c r="C33" s="105" t="str">
        <x:v>Surviving</x:v>
      </x:c>
      <x:c r="D33" s="105" t="n">
        <x:v>5</x:v>
      </x:c>
      <x:c r="E33" s="105" t="str">
        <x:v>Food, Time &amp; Daily Operations</x:v>
      </x:c>
      <x:c r="F33" s="105" t="n">
        <x:v>1</x:v>
      </x:c>
      <x:c r="G33" s="105" t="str">
        <x:v>Records</x:v>
      </x:c>
      <x:c r="H33" s="101" t="str">
        <x:v>Food &amp; Daily Survival — Ensure meals, essential supplies, transport, and critical chores happen.</x:v>
      </x:c>
      <x:c r="I33" s="101" t="str">
        <x:v>Food &amp; Daily Survival Register</x:v>
      </x:c>
      <x:c r="J33" s="101" t="str">
        <x:v>Capture and maintain pantry; groceries; meals; essential purchases; transport; daily tasks; minimum stock.</x:v>
      </x:c>
      <x:c r="K33" s="101" t="str">
        <x:v>pantry; groceries; meals; essential purchases; transport; daily tasks; minimum stock</x:v>
      </x:c>
      <x:c r="L33" s="101" t="str">
        <x:v>MVP Core</x:v>
      </x:c>
      <x:c r="M33" s="101" t="str">
        <x:f>IF(B33&lt;='Unlock Map'!$B$11,"Enabled","Locked")</x:f>
        <x:v>Enabled</x:v>
      </x:c>
    </x:row>
    <x:row r="34" ht="54" customHeight="1">
      <x:c r="A34" s="105" t="str">
        <x:v>S1-D5-E2</x:v>
      </x:c>
      <x:c r="B34" s="105" t="n">
        <x:v>1</x:v>
      </x:c>
      <x:c r="C34" s="105" t="str">
        <x:v>Surviving</x:v>
      </x:c>
      <x:c r="D34" s="105" t="n">
        <x:v>5</x:v>
      </x:c>
      <x:c r="E34" s="105" t="str">
        <x:v>Food, Time &amp; Daily Operations</x:v>
      </x:c>
      <x:c r="F34" s="105" t="n">
        <x:v>2</x:v>
      </x:c>
      <x:c r="G34" s="105" t="str">
        <x:v>Plans</x:v>
      </x:c>
      <x:c r="H34" s="101" t="str">
        <x:v>Food &amp; Daily Survival — Ensure meals, essential supplies, transport, and critical chores happen.</x:v>
      </x:c>
      <x:c r="I34" s="101" t="str">
        <x:v>Food &amp; Daily Survival Plan</x:v>
      </x:c>
      <x:c r="J34" s="101" t="str">
        <x:v>Set goals, budgets, schedules, thresholds, scenarios, and priorities for food &amp; daily survival.</x:v>
      </x:c>
      <x:c r="K34" s="101" t="str">
        <x:v>pantry; groceries; meals; essential purchases; transport; daily tasks; minimum stock</x:v>
      </x:c>
      <x:c r="L34" s="101" t="str">
        <x:v>MVP Core</x:v>
      </x:c>
      <x:c r="M34" s="101" t="str">
        <x:f>IF(B34&lt;='Unlock Map'!$B$11,"Enabled","Locked")</x:f>
        <x:v>Enabled</x:v>
      </x:c>
    </x:row>
    <x:row r="35" ht="54" customHeight="1">
      <x:c r="A35" s="105" t="str">
        <x:v>S1-D5-E3</x:v>
      </x:c>
      <x:c r="B35" s="105" t="n">
        <x:v>1</x:v>
      </x:c>
      <x:c r="C35" s="105" t="str">
        <x:v>Surviving</x:v>
      </x:c>
      <x:c r="D35" s="105" t="n">
        <x:v>5</x:v>
      </x:c>
      <x:c r="E35" s="105" t="str">
        <x:v>Food, Time &amp; Daily Operations</x:v>
      </x:c>
      <x:c r="F35" s="105" t="n">
        <x:v>3</x:v>
      </x:c>
      <x:c r="G35" s="105" t="str">
        <x:v>Actions</x:v>
      </x:c>
      <x:c r="H35" s="101" t="str">
        <x:v>Food &amp; Daily Survival — Ensure meals, essential supplies, transport, and critical chores happen.</x:v>
      </x:c>
      <x:c r="I35" s="101" t="str">
        <x:v>Food &amp; Daily Survival Actions</x:v>
      </x:c>
      <x:c r="J35" s="101" t="str">
        <x:v>Turn the food &amp; daily survival plan into owned tasks, routines, transactions, projects, and follow-ups.</x:v>
      </x:c>
      <x:c r="K35" s="101" t="str">
        <x:v>pantry; groceries; meals; essential purchases; transport; daily tasks; minimum stock</x:v>
      </x:c>
      <x:c r="L35" s="101" t="str">
        <x:v>MVP Core</x:v>
      </x:c>
      <x:c r="M35" s="101" t="str">
        <x:f>IF(B35&lt;='Unlock Map'!$B$11,"Enabled","Locked")</x:f>
        <x:v>Enabled</x:v>
      </x:c>
    </x:row>
    <x:row r="36" ht="54" customHeight="1">
      <x:c r="A36" s="105" t="str">
        <x:v>S1-D5-E4</x:v>
      </x:c>
      <x:c r="B36" s="105" t="n">
        <x:v>1</x:v>
      </x:c>
      <x:c r="C36" s="105" t="str">
        <x:v>Surviving</x:v>
      </x:c>
      <x:c r="D36" s="105" t="n">
        <x:v>5</x:v>
      </x:c>
      <x:c r="E36" s="105" t="str">
        <x:v>Food, Time &amp; Daily Operations</x:v>
      </x:c>
      <x:c r="F36" s="105" t="n">
        <x:v>4</x:v>
      </x:c>
      <x:c r="G36" s="105" t="str">
        <x:v>Collaboration</x:v>
      </x:c>
      <x:c r="H36" s="101" t="str">
        <x:v>Food &amp; Daily Survival — Ensure meals, essential supplies, transport, and critical chores happen.</x:v>
      </x:c>
      <x:c r="I36" s="101" t="str">
        <x:v>Food &amp; Daily Survival Coordination</x:v>
      </x:c>
      <x:c r="J36" s="101" t="str">
        <x:v>Share roles, messages, approvals, handoffs, and appropriate external access for food &amp; daily survival.</x:v>
      </x:c>
      <x:c r="K36" s="101" t="str">
        <x:v>pantry; groceries; meals; essential purchases; transport; daily tasks; minimum stock</x:v>
      </x:c>
      <x:c r="L36" s="101" t="str">
        <x:v>MVP Core</x:v>
      </x:c>
      <x:c r="M36" s="101" t="str">
        <x:f>IF(B36&lt;='Unlock Map'!$B$11,"Enabled","Locked")</x:f>
        <x:v>Enabled</x:v>
      </x:c>
    </x:row>
    <x:row r="37" ht="54" customHeight="1">
      <x:c r="A37" s="105" t="str">
        <x:v>S1-D5-E5</x:v>
      </x:c>
      <x:c r="B37" s="105" t="n">
        <x:v>1</x:v>
      </x:c>
      <x:c r="C37" s="105" t="str">
        <x:v>Surviving</x:v>
      </x:c>
      <x:c r="D37" s="105" t="n">
        <x:v>5</x:v>
      </x:c>
      <x:c r="E37" s="105" t="str">
        <x:v>Food, Time &amp; Daily Operations</x:v>
      </x:c>
      <x:c r="F37" s="105" t="n">
        <x:v>5</x:v>
      </x:c>
      <x:c r="G37" s="105" t="str">
        <x:v>Safeguards</x:v>
      </x:c>
      <x:c r="H37" s="101" t="str">
        <x:v>Food &amp; Daily Survival — Ensure meals, essential supplies, transport, and critical chores happen.</x:v>
      </x:c>
      <x:c r="I37" s="101" t="str">
        <x:v>Food &amp; Daily Survival Controls</x:v>
      </x:c>
      <x:c r="J37" s="101" t="str">
        <x:v>Apply permissions, limits, alerts, evidence, contingency rules, and exception handling to food &amp; daily survival.</x:v>
      </x:c>
      <x:c r="K37" s="101" t="str">
        <x:v>pantry; groceries; meals; essential purchases; transport; daily tasks; minimum stock</x:v>
      </x:c>
      <x:c r="L37" s="101" t="str">
        <x:v>MVP Core</x:v>
      </x:c>
      <x:c r="M37" s="101" t="str">
        <x:f>IF(B37&lt;='Unlock Map'!$B$11,"Enabled","Locked")</x:f>
        <x:v>Enabled</x:v>
      </x:c>
    </x:row>
    <x:row r="38" ht="54" customHeight="1">
      <x:c r="A38" s="105" t="str">
        <x:v>S1-D5-E6</x:v>
      </x:c>
      <x:c r="B38" s="105" t="n">
        <x:v>1</x:v>
      </x:c>
      <x:c r="C38" s="105" t="str">
        <x:v>Surviving</x:v>
      </x:c>
      <x:c r="D38" s="105" t="n">
        <x:v>5</x:v>
      </x:c>
      <x:c r="E38" s="105" t="str">
        <x:v>Food, Time &amp; Daily Operations</x:v>
      </x:c>
      <x:c r="F38" s="105" t="n">
        <x:v>6</x:v>
      </x:c>
      <x:c r="G38" s="105" t="str">
        <x:v>Insights</x:v>
      </x:c>
      <x:c r="H38" s="101" t="str">
        <x:v>Food &amp; Daily Survival — Ensure meals, essential supplies, transport, and critical chores happen.</x:v>
      </x:c>
      <x:c r="I38" s="101" t="str">
        <x:v>Food &amp; Daily Survival Review</x:v>
      </x:c>
      <x:c r="J38" s="101" t="str">
        <x:v>Show status, trends, gaps, risks, outcomes, and next decisions for food &amp; daily survival.</x:v>
      </x:c>
      <x:c r="K38" s="101" t="str">
        <x:v>pantry; groceries; meals; essential purchases; transport; daily tasks; minimum stock</x:v>
      </x:c>
      <x:c r="L38" s="101" t="str">
        <x:v>MVP Core</x:v>
      </x:c>
      <x:c r="M38" s="101" t="str">
        <x:f>IF(B38&lt;='Unlock Map'!$B$11,"Enabled","Locked")</x:f>
        <x:v>Enabled</x:v>
      </x:c>
    </x:row>
    <x:row r="39" ht="54" customHeight="1">
      <x:c r="A39" s="105" t="str">
        <x:v>S1-D5-E7</x:v>
      </x:c>
      <x:c r="B39" s="105" t="n">
        <x:v>1</x:v>
      </x:c>
      <x:c r="C39" s="105" t="str">
        <x:v>Surviving</x:v>
      </x:c>
      <x:c r="D39" s="105" t="n">
        <x:v>5</x:v>
      </x:c>
      <x:c r="E39" s="105" t="str">
        <x:v>Food, Time &amp; Daily Operations</x:v>
      </x:c>
      <x:c r="F39" s="105" t="n">
        <x:v>7</x:v>
      </x:c>
      <x:c r="G39" s="105" t="str">
        <x:v>Automation</x:v>
      </x:c>
      <x:c r="H39" s="101" t="str">
        <x:v>Food &amp; Daily Survival — Ensure meals, essential supplies, transport, and critical chores happen.</x:v>
      </x:c>
      <x:c r="I39" s="101" t="str">
        <x:v>Food &amp; Daily Survival Automation</x:v>
      </x:c>
      <x:c r="J39" s="101" t="str">
        <x:v>Use recurring rules, integrations, recommendations, and predictive reminders for food &amp; daily survival.</x:v>
      </x:c>
      <x:c r="K39" s="101" t="str">
        <x:v>pantry; groceries; meals; essential purchases; transport; daily tasks; minimum stock</x:v>
      </x:c>
      <x:c r="L39" s="101" t="str">
        <x:v>MVP Core</x:v>
      </x:c>
      <x:c r="M39" s="101" t="str">
        <x:f>IF(B39&lt;='Unlock Map'!$B$11,"Enabled","Locked")</x:f>
        <x:v>Enabled</x:v>
      </x:c>
    </x:row>
    <x:row r="40" ht="54" customHeight="1">
      <x:c r="A40" s="105" t="str">
        <x:v>S1-D6-E1</x:v>
      </x:c>
      <x:c r="B40" s="105" t="n">
        <x:v>1</x:v>
      </x:c>
      <x:c r="C40" s="105" t="str">
        <x:v>Surviving</x:v>
      </x:c>
      <x:c r="D40" s="105" t="n">
        <x:v>6</x:v>
      </x:c>
      <x:c r="E40" s="105" t="str">
        <x:v>Family, Relationships &amp; Community</x:v>
      </x:c>
      <x:c r="F40" s="105" t="n">
        <x:v>1</x:v>
      </x:c>
      <x:c r="G40" s="105" t="str">
        <x:v>Records</x:v>
      </x:c>
      <x:c r="H40" s="101" t="str">
        <x:v>Household Support &amp; Care — Know who is present, responsible, dependent, and available in an emergency.</x:v>
      </x:c>
      <x:c r="I40" s="101" t="str">
        <x:v>Household Support &amp; Care Register</x:v>
      </x:c>
      <x:c r="J40" s="101" t="str">
        <x:v>Capture and maintain members; dependants; caregivers; contacts; roles; immediate conflicts; support network.</x:v>
      </x:c>
      <x:c r="K40" s="101" t="str">
        <x:v>members; dependants; caregivers; contacts; roles; immediate conflicts; support network</x:v>
      </x:c>
      <x:c r="L40" s="101" t="str">
        <x:v>MVP Core</x:v>
      </x:c>
      <x:c r="M40" s="101" t="str">
        <x:f>IF(B40&lt;='Unlock Map'!$B$11,"Enabled","Locked")</x:f>
        <x:v>Enabled</x:v>
      </x:c>
    </x:row>
    <x:row r="41" ht="54" customHeight="1">
      <x:c r="A41" s="105" t="str">
        <x:v>S1-D6-E2</x:v>
      </x:c>
      <x:c r="B41" s="105" t="n">
        <x:v>1</x:v>
      </x:c>
      <x:c r="C41" s="105" t="str">
        <x:v>Surviving</x:v>
      </x:c>
      <x:c r="D41" s="105" t="n">
        <x:v>6</x:v>
      </x:c>
      <x:c r="E41" s="105" t="str">
        <x:v>Family, Relationships &amp; Community</x:v>
      </x:c>
      <x:c r="F41" s="105" t="n">
        <x:v>2</x:v>
      </x:c>
      <x:c r="G41" s="105" t="str">
        <x:v>Plans</x:v>
      </x:c>
      <x:c r="H41" s="101" t="str">
        <x:v>Household Support &amp; Care — Know who is present, responsible, dependent, and available in an emergency.</x:v>
      </x:c>
      <x:c r="I41" s="101" t="str">
        <x:v>Household Support &amp; Care Plan</x:v>
      </x:c>
      <x:c r="J41" s="101" t="str">
        <x:v>Set goals, budgets, schedules, thresholds, scenarios, and priorities for household support &amp; care.</x:v>
      </x:c>
      <x:c r="K41" s="101" t="str">
        <x:v>members; dependants; caregivers; contacts; roles; immediate conflicts; support network</x:v>
      </x:c>
      <x:c r="L41" s="101" t="str">
        <x:v>MVP Core</x:v>
      </x:c>
      <x:c r="M41" s="101" t="str">
        <x:f>IF(B41&lt;='Unlock Map'!$B$11,"Enabled","Locked")</x:f>
        <x:v>Enabled</x:v>
      </x:c>
    </x:row>
    <x:row r="42" ht="54" customHeight="1">
      <x:c r="A42" s="105" t="str">
        <x:v>S1-D6-E3</x:v>
      </x:c>
      <x:c r="B42" s="105" t="n">
        <x:v>1</x:v>
      </x:c>
      <x:c r="C42" s="105" t="str">
        <x:v>Surviving</x:v>
      </x:c>
      <x:c r="D42" s="105" t="n">
        <x:v>6</x:v>
      </x:c>
      <x:c r="E42" s="105" t="str">
        <x:v>Family, Relationships &amp; Community</x:v>
      </x:c>
      <x:c r="F42" s="105" t="n">
        <x:v>3</x:v>
      </x:c>
      <x:c r="G42" s="105" t="str">
        <x:v>Actions</x:v>
      </x:c>
      <x:c r="H42" s="101" t="str">
        <x:v>Household Support &amp; Care — Know who is present, responsible, dependent, and available in an emergency.</x:v>
      </x:c>
      <x:c r="I42" s="101" t="str">
        <x:v>Household Support &amp; Care Actions</x:v>
      </x:c>
      <x:c r="J42" s="101" t="str">
        <x:v>Turn the household support &amp; care plan into owned tasks, routines, transactions, projects, and follow-ups.</x:v>
      </x:c>
      <x:c r="K42" s="101" t="str">
        <x:v>members; dependants; caregivers; contacts; roles; immediate conflicts; support network</x:v>
      </x:c>
      <x:c r="L42" s="101" t="str">
        <x:v>MVP Core</x:v>
      </x:c>
      <x:c r="M42" s="101" t="str">
        <x:f>IF(B42&lt;='Unlock Map'!$B$11,"Enabled","Locked")</x:f>
        <x:v>Enabled</x:v>
      </x:c>
    </x:row>
    <x:row r="43" ht="54" customHeight="1">
      <x:c r="A43" s="105" t="str">
        <x:v>S1-D6-E4</x:v>
      </x:c>
      <x:c r="B43" s="105" t="n">
        <x:v>1</x:v>
      </x:c>
      <x:c r="C43" s="105" t="str">
        <x:v>Surviving</x:v>
      </x:c>
      <x:c r="D43" s="105" t="n">
        <x:v>6</x:v>
      </x:c>
      <x:c r="E43" s="105" t="str">
        <x:v>Family, Relationships &amp; Community</x:v>
      </x:c>
      <x:c r="F43" s="105" t="n">
        <x:v>4</x:v>
      </x:c>
      <x:c r="G43" s="105" t="str">
        <x:v>Collaboration</x:v>
      </x:c>
      <x:c r="H43" s="101" t="str">
        <x:v>Household Support &amp; Care — Know who is present, responsible, dependent, and available in an emergency.</x:v>
      </x:c>
      <x:c r="I43" s="101" t="str">
        <x:v>Household Support &amp; Care Coordination</x:v>
      </x:c>
      <x:c r="J43" s="101" t="str">
        <x:v>Share roles, messages, approvals, handoffs, and appropriate external access for household support &amp; care.</x:v>
      </x:c>
      <x:c r="K43" s="101" t="str">
        <x:v>members; dependants; caregivers; contacts; roles; immediate conflicts; support network</x:v>
      </x:c>
      <x:c r="L43" s="101" t="str">
        <x:v>MVP Core</x:v>
      </x:c>
      <x:c r="M43" s="101" t="str">
        <x:f>IF(B43&lt;='Unlock Map'!$B$11,"Enabled","Locked")</x:f>
        <x:v>Enabled</x:v>
      </x:c>
    </x:row>
    <x:row r="44" ht="54" customHeight="1">
      <x:c r="A44" s="105" t="str">
        <x:v>S1-D6-E5</x:v>
      </x:c>
      <x:c r="B44" s="105" t="n">
        <x:v>1</x:v>
      </x:c>
      <x:c r="C44" s="105" t="str">
        <x:v>Surviving</x:v>
      </x:c>
      <x:c r="D44" s="105" t="n">
        <x:v>6</x:v>
      </x:c>
      <x:c r="E44" s="105" t="str">
        <x:v>Family, Relationships &amp; Community</x:v>
      </x:c>
      <x:c r="F44" s="105" t="n">
        <x:v>5</x:v>
      </x:c>
      <x:c r="G44" s="105" t="str">
        <x:v>Safeguards</x:v>
      </x:c>
      <x:c r="H44" s="101" t="str">
        <x:v>Household Support &amp; Care — Know who is present, responsible, dependent, and available in an emergency.</x:v>
      </x:c>
      <x:c r="I44" s="101" t="str">
        <x:v>Household Support &amp; Care Controls</x:v>
      </x:c>
      <x:c r="J44" s="101" t="str">
        <x:v>Apply permissions, limits, alerts, evidence, contingency rules, and exception handling to household support &amp; care.</x:v>
      </x:c>
      <x:c r="K44" s="101" t="str">
        <x:v>members; dependants; caregivers; contacts; roles; immediate conflicts; support network</x:v>
      </x:c>
      <x:c r="L44" s="101" t="str">
        <x:v>MVP Core</x:v>
      </x:c>
      <x:c r="M44" s="101" t="str">
        <x:f>IF(B44&lt;='Unlock Map'!$B$11,"Enabled","Locked")</x:f>
        <x:v>Enabled</x:v>
      </x:c>
    </x:row>
    <x:row r="45" ht="54" customHeight="1">
      <x:c r="A45" s="105" t="str">
        <x:v>S1-D6-E6</x:v>
      </x:c>
      <x:c r="B45" s="105" t="n">
        <x:v>1</x:v>
      </x:c>
      <x:c r="C45" s="105" t="str">
        <x:v>Surviving</x:v>
      </x:c>
      <x:c r="D45" s="105" t="n">
        <x:v>6</x:v>
      </x:c>
      <x:c r="E45" s="105" t="str">
        <x:v>Family, Relationships &amp; Community</x:v>
      </x:c>
      <x:c r="F45" s="105" t="n">
        <x:v>6</x:v>
      </x:c>
      <x:c r="G45" s="105" t="str">
        <x:v>Insights</x:v>
      </x:c>
      <x:c r="H45" s="101" t="str">
        <x:v>Household Support &amp; Care — Know who is present, responsible, dependent, and available in an emergency.</x:v>
      </x:c>
      <x:c r="I45" s="101" t="str">
        <x:v>Household Support &amp; Care Review</x:v>
      </x:c>
      <x:c r="J45" s="101" t="str">
        <x:v>Show status, trends, gaps, risks, outcomes, and next decisions for household support &amp; care.</x:v>
      </x:c>
      <x:c r="K45" s="101" t="str">
        <x:v>members; dependants; caregivers; contacts; roles; immediate conflicts; support network</x:v>
      </x:c>
      <x:c r="L45" s="101" t="str">
        <x:v>MVP Core</x:v>
      </x:c>
      <x:c r="M45" s="101" t="str">
        <x:f>IF(B45&lt;='Unlock Map'!$B$11,"Enabled","Locked")</x:f>
        <x:v>Enabled</x:v>
      </x:c>
    </x:row>
    <x:row r="46" ht="54" customHeight="1">
      <x:c r="A46" s="105" t="str">
        <x:v>S1-D6-E7</x:v>
      </x:c>
      <x:c r="B46" s="105" t="n">
        <x:v>1</x:v>
      </x:c>
      <x:c r="C46" s="105" t="str">
        <x:v>Surviving</x:v>
      </x:c>
      <x:c r="D46" s="105" t="n">
        <x:v>6</x:v>
      </x:c>
      <x:c r="E46" s="105" t="str">
        <x:v>Family, Relationships &amp; Community</x:v>
      </x:c>
      <x:c r="F46" s="105" t="n">
        <x:v>7</x:v>
      </x:c>
      <x:c r="G46" s="105" t="str">
        <x:v>Automation</x:v>
      </x:c>
      <x:c r="H46" s="101" t="str">
        <x:v>Household Support &amp; Care — Know who is present, responsible, dependent, and available in an emergency.</x:v>
      </x:c>
      <x:c r="I46" s="101" t="str">
        <x:v>Household Support &amp; Care Automation</x:v>
      </x:c>
      <x:c r="J46" s="101" t="str">
        <x:v>Use recurring rules, integrations, recommendations, and predictive reminders for household support &amp; care.</x:v>
      </x:c>
      <x:c r="K46" s="101" t="str">
        <x:v>members; dependants; caregivers; contacts; roles; immediate conflicts; support network</x:v>
      </x:c>
      <x:c r="L46" s="101" t="str">
        <x:v>MVP Core</x:v>
      </x:c>
      <x:c r="M46" s="101" t="str">
        <x:f>IF(B46&lt;='Unlock Map'!$B$11,"Enabled","Locked")</x:f>
        <x:v>Enabled</x:v>
      </x:c>
    </x:row>
    <x:row r="47" ht="54" customHeight="1">
      <x:c r="A47" s="105" t="str">
        <x:v>S1-D7-E1</x:v>
      </x:c>
      <x:c r="B47" s="105" t="n">
        <x:v>1</x:v>
      </x:c>
      <x:c r="C47" s="105" t="str">
        <x:v>Surviving</x:v>
      </x:c>
      <x:c r="D47" s="105" t="n">
        <x:v>7</x:v>
      </x:c>
      <x:c r="E47" s="105" t="str">
        <x:v>Safety, Legal &amp; Governance</x:v>
      </x:c>
      <x:c r="F47" s="105" t="n">
        <x:v>1</x:v>
      </x:c>
      <x:c r="G47" s="105" t="str">
        <x:v>Records</x:v>
      </x:c>
      <x:c r="H47" s="101" t="str">
        <x:v>Identity, Safety &amp; Emergency — Protect identity, access help, and respond to immediate threats.</x:v>
      </x:c>
      <x:c r="I47" s="101" t="str">
        <x:v>Identity, Safety &amp; Emergency Register</x:v>
      </x:c>
      <x:c r="J47" s="101" t="str">
        <x:v>Capture and maintain IDs; certificates; emergency contacts; security access; incidents; emergency plan; critical documents.</x:v>
      </x:c>
      <x:c r="K47" s="101" t="str">
        <x:v>IDs; certificates; emergency contacts; security access; incidents; emergency plan; critical documents</x:v>
      </x:c>
      <x:c r="L47" s="101" t="str">
        <x:v>MVP Core</x:v>
      </x:c>
      <x:c r="M47" s="101" t="str">
        <x:f>IF(B47&lt;='Unlock Map'!$B$11,"Enabled","Locked")</x:f>
        <x:v>Enabled</x:v>
      </x:c>
    </x:row>
    <x:row r="48" ht="54" customHeight="1">
      <x:c r="A48" s="105" t="str">
        <x:v>S1-D7-E2</x:v>
      </x:c>
      <x:c r="B48" s="105" t="n">
        <x:v>1</x:v>
      </x:c>
      <x:c r="C48" s="105" t="str">
        <x:v>Surviving</x:v>
      </x:c>
      <x:c r="D48" s="105" t="n">
        <x:v>7</x:v>
      </x:c>
      <x:c r="E48" s="105" t="str">
        <x:v>Safety, Legal &amp; Governance</x:v>
      </x:c>
      <x:c r="F48" s="105" t="n">
        <x:v>2</x:v>
      </x:c>
      <x:c r="G48" s="105" t="str">
        <x:v>Plans</x:v>
      </x:c>
      <x:c r="H48" s="101" t="str">
        <x:v>Identity, Safety &amp; Emergency — Protect identity, access help, and respond to immediate threats.</x:v>
      </x:c>
      <x:c r="I48" s="101" t="str">
        <x:v>Identity, Safety &amp; Emergency Plan</x:v>
      </x:c>
      <x:c r="J48" s="101" t="str">
        <x:v>Set goals, budgets, schedules, thresholds, scenarios, and priorities for identity, safety &amp; emergency.</x:v>
      </x:c>
      <x:c r="K48" s="101" t="str">
        <x:v>IDs; certificates; emergency contacts; security access; incidents; emergency plan; critical documents</x:v>
      </x:c>
      <x:c r="L48" s="101" t="str">
        <x:v>MVP Core</x:v>
      </x:c>
      <x:c r="M48" s="101" t="str">
        <x:f>IF(B48&lt;='Unlock Map'!$B$11,"Enabled","Locked")</x:f>
        <x:v>Enabled</x:v>
      </x:c>
    </x:row>
    <x:row r="49" ht="54" customHeight="1">
      <x:c r="A49" s="105" t="str">
        <x:v>S1-D7-E3</x:v>
      </x:c>
      <x:c r="B49" s="105" t="n">
        <x:v>1</x:v>
      </x:c>
      <x:c r="C49" s="105" t="str">
        <x:v>Surviving</x:v>
      </x:c>
      <x:c r="D49" s="105" t="n">
        <x:v>7</x:v>
      </x:c>
      <x:c r="E49" s="105" t="str">
        <x:v>Safety, Legal &amp; Governance</x:v>
      </x:c>
      <x:c r="F49" s="105" t="n">
        <x:v>3</x:v>
      </x:c>
      <x:c r="G49" s="105" t="str">
        <x:v>Actions</x:v>
      </x:c>
      <x:c r="H49" s="101" t="str">
        <x:v>Identity, Safety &amp; Emergency — Protect identity, access help, and respond to immediate threats.</x:v>
      </x:c>
      <x:c r="I49" s="101" t="str">
        <x:v>Identity, Safety &amp; Emergency Actions</x:v>
      </x:c>
      <x:c r="J49" s="101" t="str">
        <x:v>Turn the identity, safety &amp; emergency plan into owned tasks, routines, transactions, projects, and follow-ups.</x:v>
      </x:c>
      <x:c r="K49" s="101" t="str">
        <x:v>IDs; certificates; emergency contacts; security access; incidents; emergency plan; critical documents</x:v>
      </x:c>
      <x:c r="L49" s="101" t="str">
        <x:v>MVP Core</x:v>
      </x:c>
      <x:c r="M49" s="101" t="str">
        <x:f>IF(B49&lt;='Unlock Map'!$B$11,"Enabled","Locked")</x:f>
        <x:v>Enabled</x:v>
      </x:c>
    </x:row>
    <x:row r="50" ht="54" customHeight="1">
      <x:c r="A50" s="105" t="str">
        <x:v>S1-D7-E4</x:v>
      </x:c>
      <x:c r="B50" s="105" t="n">
        <x:v>1</x:v>
      </x:c>
      <x:c r="C50" s="105" t="str">
        <x:v>Surviving</x:v>
      </x:c>
      <x:c r="D50" s="105" t="n">
        <x:v>7</x:v>
      </x:c>
      <x:c r="E50" s="105" t="str">
        <x:v>Safety, Legal &amp; Governance</x:v>
      </x:c>
      <x:c r="F50" s="105" t="n">
        <x:v>4</x:v>
      </x:c>
      <x:c r="G50" s="105" t="str">
        <x:v>Collaboration</x:v>
      </x:c>
      <x:c r="H50" s="101" t="str">
        <x:v>Identity, Safety &amp; Emergency — Protect identity, access help, and respond to immediate threats.</x:v>
      </x:c>
      <x:c r="I50" s="101" t="str">
        <x:v>Identity, Safety &amp; Emergency Coordination</x:v>
      </x:c>
      <x:c r="J50" s="101" t="str">
        <x:v>Share roles, messages, approvals, handoffs, and appropriate external access for identity, safety &amp; emergency.</x:v>
      </x:c>
      <x:c r="K50" s="101" t="str">
        <x:v>IDs; certificates; emergency contacts; security access; incidents; emergency plan; critical documents</x:v>
      </x:c>
      <x:c r="L50" s="101" t="str">
        <x:v>MVP Core</x:v>
      </x:c>
      <x:c r="M50" s="101" t="str">
        <x:f>IF(B50&lt;='Unlock Map'!$B$11,"Enabled","Locked")</x:f>
        <x:v>Enabled</x:v>
      </x:c>
    </x:row>
    <x:row r="51" ht="54" customHeight="1">
      <x:c r="A51" s="105" t="str">
        <x:v>S1-D7-E5</x:v>
      </x:c>
      <x:c r="B51" s="105" t="n">
        <x:v>1</x:v>
      </x:c>
      <x:c r="C51" s="105" t="str">
        <x:v>Surviving</x:v>
      </x:c>
      <x:c r="D51" s="105" t="n">
        <x:v>7</x:v>
      </x:c>
      <x:c r="E51" s="105" t="str">
        <x:v>Safety, Legal &amp; Governance</x:v>
      </x:c>
      <x:c r="F51" s="105" t="n">
        <x:v>5</x:v>
      </x:c>
      <x:c r="G51" s="105" t="str">
        <x:v>Safeguards</x:v>
      </x:c>
      <x:c r="H51" s="101" t="str">
        <x:v>Identity, Safety &amp; Emergency — Protect identity, access help, and respond to immediate threats.</x:v>
      </x:c>
      <x:c r="I51" s="101" t="str">
        <x:v>Identity, Safety &amp; Emergency Controls</x:v>
      </x:c>
      <x:c r="J51" s="101" t="str">
        <x:v>Apply permissions, limits, alerts, evidence, contingency rules, and exception handling to identity, safety &amp; emergency.</x:v>
      </x:c>
      <x:c r="K51" s="101" t="str">
        <x:v>IDs; certificates; emergency contacts; security access; incidents; emergency plan; critical documents</x:v>
      </x:c>
      <x:c r="L51" s="101" t="str">
        <x:v>MVP Core</x:v>
      </x:c>
      <x:c r="M51" s="101" t="str">
        <x:f>IF(B51&lt;='Unlock Map'!$B$11,"Enabled","Locked")</x:f>
        <x:v>Enabled</x:v>
      </x:c>
    </x:row>
    <x:row r="52" ht="54" customHeight="1">
      <x:c r="A52" s="105" t="str">
        <x:v>S1-D7-E6</x:v>
      </x:c>
      <x:c r="B52" s="105" t="n">
        <x:v>1</x:v>
      </x:c>
      <x:c r="C52" s="105" t="str">
        <x:v>Surviving</x:v>
      </x:c>
      <x:c r="D52" s="105" t="n">
        <x:v>7</x:v>
      </x:c>
      <x:c r="E52" s="105" t="str">
        <x:v>Safety, Legal &amp; Governance</x:v>
      </x:c>
      <x:c r="F52" s="105" t="n">
        <x:v>6</x:v>
      </x:c>
      <x:c r="G52" s="105" t="str">
        <x:v>Insights</x:v>
      </x:c>
      <x:c r="H52" s="101" t="str">
        <x:v>Identity, Safety &amp; Emergency — Protect identity, access help, and respond to immediate threats.</x:v>
      </x:c>
      <x:c r="I52" s="101" t="str">
        <x:v>Identity, Safety &amp; Emergency Review</x:v>
      </x:c>
      <x:c r="J52" s="101" t="str">
        <x:v>Show status, trends, gaps, risks, outcomes, and next decisions for identity, safety &amp; emergency.</x:v>
      </x:c>
      <x:c r="K52" s="101" t="str">
        <x:v>IDs; certificates; emergency contacts; security access; incidents; emergency plan; critical documents</x:v>
      </x:c>
      <x:c r="L52" s="101" t="str">
        <x:v>MVP Core</x:v>
      </x:c>
      <x:c r="M52" s="101" t="str">
        <x:f>IF(B52&lt;='Unlock Map'!$B$11,"Enabled","Locked")</x:f>
        <x:v>Enabled</x:v>
      </x:c>
    </x:row>
    <x:row r="53" ht="54" customHeight="1">
      <x:c r="A53" s="105" t="str">
        <x:v>S1-D7-E7</x:v>
      </x:c>
      <x:c r="B53" s="105" t="n">
        <x:v>1</x:v>
      </x:c>
      <x:c r="C53" s="105" t="str">
        <x:v>Surviving</x:v>
      </x:c>
      <x:c r="D53" s="105" t="n">
        <x:v>7</x:v>
      </x:c>
      <x:c r="E53" s="105" t="str">
        <x:v>Safety, Legal &amp; Governance</x:v>
      </x:c>
      <x:c r="F53" s="105" t="n">
        <x:v>7</x:v>
      </x:c>
      <x:c r="G53" s="105" t="str">
        <x:v>Automation</x:v>
      </x:c>
      <x:c r="H53" s="101" t="str">
        <x:v>Identity, Safety &amp; Emergency — Protect identity, access help, and respond to immediate threats.</x:v>
      </x:c>
      <x:c r="I53" s="101" t="str">
        <x:v>Identity, Safety &amp; Emergency Automation</x:v>
      </x:c>
      <x:c r="J53" s="101" t="str">
        <x:v>Use recurring rules, integrations, recommendations, and predictive reminders for identity, safety &amp; emergency.</x:v>
      </x:c>
      <x:c r="K53" s="101" t="str">
        <x:v>IDs; certificates; emergency contacts; security access; incidents; emergency plan; critical documents</x:v>
      </x:c>
      <x:c r="L53" s="101" t="str">
        <x:v>MVP Core</x:v>
      </x:c>
      <x:c r="M53" s="101" t="str">
        <x:f>IF(B53&lt;='Unlock Map'!$B$11,"Enabled","Locked")</x:f>
        <x:v>Enabled</x:v>
      </x:c>
    </x:row>
    <x:row r="54" ht="54" customHeight="1">
      <x:c r="A54" s="106" t="str">
        <x:v>S2-D1-E1</x:v>
      </x:c>
      <x:c r="B54" s="106" t="n">
        <x:v>2</x:v>
      </x:c>
      <x:c r="C54" s="106" t="str">
        <x:v>Living</x:v>
      </x:c>
      <x:c r="D54" s="106" t="n">
        <x:v>1</x:v>
      </x:c>
      <x:c r="E54" s="106" t="str">
        <x:v>Finance, Work &amp; Wealth</x:v>
      </x:c>
      <x:c r="F54" s="106" t="n">
        <x:v>1</x:v>
      </x:c>
      <x:c r="G54" s="106" t="str">
        <x:v>Records</x:v>
      </x:c>
      <x:c r="H54" s="102" t="str">
        <x:v>Budget, Bills &amp; Savings — Move from crisis cash handling to a repeatable household financial system.</x:v>
      </x:c>
      <x:c r="I54" s="102" t="str">
        <x:v>Budget, Bills &amp; Savings Register</x:v>
      </x:c>
      <x:c r="J54" s="102" t="str">
        <x:v>Capture and maintain accounts; budget categories; expenses; bills; subscriptions; savings; debt repayment.</x:v>
      </x:c>
      <x:c r="K54" s="102" t="str">
        <x:v>accounts; budget categories; expenses; bills; subscriptions; savings; debt repayment</x:v>
      </x:c>
      <x:c r="L54" s="102" t="str">
        <x:v>MVP Core</x:v>
      </x:c>
      <x:c r="M54" s="102" t="str">
        <x:f>IF(B54&lt;='Unlock Map'!$B$11,"Enabled","Locked")</x:f>
        <x:v>Enabled</x:v>
      </x:c>
    </x:row>
    <x:row r="55" ht="54" customHeight="1">
      <x:c r="A55" s="107" t="str">
        <x:v>S2-D1-E2</x:v>
      </x:c>
      <x:c r="B55" s="107" t="n">
        <x:v>2</x:v>
      </x:c>
      <x:c r="C55" s="107" t="str">
        <x:v>Living</x:v>
      </x:c>
      <x:c r="D55" s="107" t="n">
        <x:v>1</x:v>
      </x:c>
      <x:c r="E55" s="107" t="str">
        <x:v>Finance, Work &amp; Wealth</x:v>
      </x:c>
      <x:c r="F55" s="107" t="n">
        <x:v>2</x:v>
      </x:c>
      <x:c r="G55" s="107" t="str">
        <x:v>Plans</x:v>
      </x:c>
      <x:c r="H55" s="103" t="str">
        <x:v>Budget, Bills &amp; Savings — Move from crisis cash handling to a repeatable household financial system.</x:v>
      </x:c>
      <x:c r="I55" s="103" t="str">
        <x:v>Budget, Bills &amp; Savings Plan</x:v>
      </x:c>
      <x:c r="J55" s="103" t="str">
        <x:v>Set goals, budgets, schedules, thresholds, scenarios, and priorities for budget, bills &amp; savings.</x:v>
      </x:c>
      <x:c r="K55" s="103" t="str">
        <x:v>accounts; budget categories; expenses; bills; subscriptions; savings; debt repayment</x:v>
      </x:c>
      <x:c r="L55" s="103" t="str">
        <x:v>MVP Core</x:v>
      </x:c>
      <x:c r="M55" s="103" t="str">
        <x:f>IF(B55&lt;='Unlock Map'!$B$11,"Enabled","Locked")</x:f>
        <x:v>Enabled</x:v>
      </x:c>
    </x:row>
    <x:row r="56" ht="54" customHeight="1">
      <x:c r="A56" s="107" t="str">
        <x:v>S2-D1-E3</x:v>
      </x:c>
      <x:c r="B56" s="107" t="n">
        <x:v>2</x:v>
      </x:c>
      <x:c r="C56" s="107" t="str">
        <x:v>Living</x:v>
      </x:c>
      <x:c r="D56" s="107" t="n">
        <x:v>1</x:v>
      </x:c>
      <x:c r="E56" s="107" t="str">
        <x:v>Finance, Work &amp; Wealth</x:v>
      </x:c>
      <x:c r="F56" s="107" t="n">
        <x:v>3</x:v>
      </x:c>
      <x:c r="G56" s="107" t="str">
        <x:v>Actions</x:v>
      </x:c>
      <x:c r="H56" s="103" t="str">
        <x:v>Budget, Bills &amp; Savings — Move from crisis cash handling to a repeatable household financial system.</x:v>
      </x:c>
      <x:c r="I56" s="103" t="str">
        <x:v>Budget, Bills &amp; Savings Actions</x:v>
      </x:c>
      <x:c r="J56" s="103" t="str">
        <x:v>Turn the budget, bills &amp; savings plan into owned tasks, routines, transactions, projects, and follow-ups.</x:v>
      </x:c>
      <x:c r="K56" s="103" t="str">
        <x:v>accounts; budget categories; expenses; bills; subscriptions; savings; debt repayment</x:v>
      </x:c>
      <x:c r="L56" s="103" t="str">
        <x:v>MVP Core</x:v>
      </x:c>
      <x:c r="M56" s="103" t="str">
        <x:f>IF(B56&lt;='Unlock Map'!$B$11,"Enabled","Locked")</x:f>
        <x:v>Enabled</x:v>
      </x:c>
    </x:row>
    <x:row r="57" ht="54" customHeight="1">
      <x:c r="A57" s="107" t="str">
        <x:v>S2-D1-E4</x:v>
      </x:c>
      <x:c r="B57" s="107" t="n">
        <x:v>2</x:v>
      </x:c>
      <x:c r="C57" s="107" t="str">
        <x:v>Living</x:v>
      </x:c>
      <x:c r="D57" s="107" t="n">
        <x:v>1</x:v>
      </x:c>
      <x:c r="E57" s="107" t="str">
        <x:v>Finance, Work &amp; Wealth</x:v>
      </x:c>
      <x:c r="F57" s="107" t="n">
        <x:v>4</x:v>
      </x:c>
      <x:c r="G57" s="107" t="str">
        <x:v>Collaboration</x:v>
      </x:c>
      <x:c r="H57" s="103" t="str">
        <x:v>Budget, Bills &amp; Savings — Move from crisis cash handling to a repeatable household financial system.</x:v>
      </x:c>
      <x:c r="I57" s="103" t="str">
        <x:v>Budget, Bills &amp; Savings Coordination</x:v>
      </x:c>
      <x:c r="J57" s="103" t="str">
        <x:v>Share roles, messages, approvals, handoffs, and appropriate external access for budget, bills &amp; savings.</x:v>
      </x:c>
      <x:c r="K57" s="103" t="str">
        <x:v>accounts; budget categories; expenses; bills; subscriptions; savings; debt repayment</x:v>
      </x:c>
      <x:c r="L57" s="103" t="str">
        <x:v>MVP Core</x:v>
      </x:c>
      <x:c r="M57" s="103" t="str">
        <x:f>IF(B57&lt;='Unlock Map'!$B$11,"Enabled","Locked")</x:f>
        <x:v>Enabled</x:v>
      </x:c>
    </x:row>
    <x:row r="58" ht="54" customHeight="1">
      <x:c r="A58" s="107" t="str">
        <x:v>S2-D1-E5</x:v>
      </x:c>
      <x:c r="B58" s="107" t="n">
        <x:v>2</x:v>
      </x:c>
      <x:c r="C58" s="107" t="str">
        <x:v>Living</x:v>
      </x:c>
      <x:c r="D58" s="107" t="n">
        <x:v>1</x:v>
      </x:c>
      <x:c r="E58" s="107" t="str">
        <x:v>Finance, Work &amp; Wealth</x:v>
      </x:c>
      <x:c r="F58" s="107" t="n">
        <x:v>5</x:v>
      </x:c>
      <x:c r="G58" s="107" t="str">
        <x:v>Safeguards</x:v>
      </x:c>
      <x:c r="H58" s="103" t="str">
        <x:v>Budget, Bills &amp; Savings — Move from crisis cash handling to a repeatable household financial system.</x:v>
      </x:c>
      <x:c r="I58" s="103" t="str">
        <x:v>Budget, Bills &amp; Savings Controls</x:v>
      </x:c>
      <x:c r="J58" s="103" t="str">
        <x:v>Apply permissions, limits, alerts, evidence, contingency rules, and exception handling to budget, bills &amp; savings.</x:v>
      </x:c>
      <x:c r="K58" s="103" t="str">
        <x:v>accounts; budget categories; expenses; bills; subscriptions; savings; debt repayment</x:v>
      </x:c>
      <x:c r="L58" s="103" t="str">
        <x:v>MVP Core</x:v>
      </x:c>
      <x:c r="M58" s="103" t="str">
        <x:f>IF(B58&lt;='Unlock Map'!$B$11,"Enabled","Locked")</x:f>
        <x:v>Enabled</x:v>
      </x:c>
    </x:row>
    <x:row r="59" ht="54" customHeight="1">
      <x:c r="A59" s="107" t="str">
        <x:v>S2-D1-E6</x:v>
      </x:c>
      <x:c r="B59" s="107" t="n">
        <x:v>2</x:v>
      </x:c>
      <x:c r="C59" s="107" t="str">
        <x:v>Living</x:v>
      </x:c>
      <x:c r="D59" s="107" t="n">
        <x:v>1</x:v>
      </x:c>
      <x:c r="E59" s="107" t="str">
        <x:v>Finance, Work &amp; Wealth</x:v>
      </x:c>
      <x:c r="F59" s="107" t="n">
        <x:v>6</x:v>
      </x:c>
      <x:c r="G59" s="107" t="str">
        <x:v>Insights</x:v>
      </x:c>
      <x:c r="H59" s="103" t="str">
        <x:v>Budget, Bills &amp; Savings — Move from crisis cash handling to a repeatable household financial system.</x:v>
      </x:c>
      <x:c r="I59" s="103" t="str">
        <x:v>Budget, Bills &amp; Savings Review</x:v>
      </x:c>
      <x:c r="J59" s="103" t="str">
        <x:v>Show status, trends, gaps, risks, outcomes, and next decisions for budget, bills &amp; savings.</x:v>
      </x:c>
      <x:c r="K59" s="103" t="str">
        <x:v>accounts; budget categories; expenses; bills; subscriptions; savings; debt repayment</x:v>
      </x:c>
      <x:c r="L59" s="103" t="str">
        <x:v>MVP Core</x:v>
      </x:c>
      <x:c r="M59" s="103" t="str">
        <x:f>IF(B59&lt;='Unlock Map'!$B$11,"Enabled","Locked")</x:f>
        <x:v>Enabled</x:v>
      </x:c>
    </x:row>
    <x:row r="60" ht="54" customHeight="1">
      <x:c r="A60" s="107" t="str">
        <x:v>S2-D1-E7</x:v>
      </x:c>
      <x:c r="B60" s="107" t="n">
        <x:v>2</x:v>
      </x:c>
      <x:c r="C60" s="107" t="str">
        <x:v>Living</x:v>
      </x:c>
      <x:c r="D60" s="107" t="n">
        <x:v>1</x:v>
      </x:c>
      <x:c r="E60" s="107" t="str">
        <x:v>Finance, Work &amp; Wealth</x:v>
      </x:c>
      <x:c r="F60" s="107" t="n">
        <x:v>7</x:v>
      </x:c>
      <x:c r="G60" s="107" t="str">
        <x:v>Automation</x:v>
      </x:c>
      <x:c r="H60" s="103" t="str">
        <x:v>Budget, Bills &amp; Savings — Move from crisis cash handling to a repeatable household financial system.</x:v>
      </x:c>
      <x:c r="I60" s="103" t="str">
        <x:v>Budget, Bills &amp; Savings Automation</x:v>
      </x:c>
      <x:c r="J60" s="103" t="str">
        <x:v>Use recurring rules, integrations, recommendations, and predictive reminders for budget, bills &amp; savings.</x:v>
      </x:c>
      <x:c r="K60" s="103" t="str">
        <x:v>accounts; budget categories; expenses; bills; subscriptions; savings; debt repayment</x:v>
      </x:c>
      <x:c r="L60" s="103" t="str">
        <x:v>MVP Core</x:v>
      </x:c>
      <x:c r="M60" s="103" t="str">
        <x:f>IF(B60&lt;='Unlock Map'!$B$11,"Enabled","Locked")</x:f>
        <x:v>Enabled</x:v>
      </x:c>
    </x:row>
    <x:row r="61" ht="54" customHeight="1">
      <x:c r="A61" s="107" t="str">
        <x:v>S2-D2-E1</x:v>
      </x:c>
      <x:c r="B61" s="107" t="n">
        <x:v>2</x:v>
      </x:c>
      <x:c r="C61" s="107" t="str">
        <x:v>Living</x:v>
      </x:c>
      <x:c r="D61" s="107" t="n">
        <x:v>2</x:v>
      </x:c>
      <x:c r="E61" s="107" t="str">
        <x:v>Health &amp; Care</x:v>
      </x:c>
      <x:c r="F61" s="107" t="n">
        <x:v>1</x:v>
      </x:c>
      <x:c r="G61" s="107" t="str">
        <x:v>Records</x:v>
      </x:c>
      <x:c r="H61" s="103" t="str">
        <x:v>Preventive Health &amp; Wellbeing — Maintain health instead of acting only when illness becomes urgent.</x:v>
      </x:c>
      <x:c r="I61" s="103" t="str">
        <x:v>Preventive Health &amp; Wellbeing Register</x:v>
      </x:c>
      <x:c r="J61" s="103" t="str">
        <x:v>Capture and maintain checkups; vaccines; tests; dental; vision; fitness; sleep; nutrition; mental wellbeing.</x:v>
      </x:c>
      <x:c r="K61" s="103" t="str">
        <x:v>checkups; vaccines; tests; dental; vision; fitness; sleep; nutrition; mental wellbeing</x:v>
      </x:c>
      <x:c r="L61" s="103" t="str">
        <x:v>MVP Core</x:v>
      </x:c>
      <x:c r="M61" s="103" t="str">
        <x:f>IF(B61&lt;='Unlock Map'!$B$11,"Enabled","Locked")</x:f>
        <x:v>Enabled</x:v>
      </x:c>
    </x:row>
    <x:row r="62" ht="54" customHeight="1">
      <x:c r="A62" s="107" t="str">
        <x:v>S2-D2-E2</x:v>
      </x:c>
      <x:c r="B62" s="107" t="n">
        <x:v>2</x:v>
      </x:c>
      <x:c r="C62" s="107" t="str">
        <x:v>Living</x:v>
      </x:c>
      <x:c r="D62" s="107" t="n">
        <x:v>2</x:v>
      </x:c>
      <x:c r="E62" s="107" t="str">
        <x:v>Health &amp; Care</x:v>
      </x:c>
      <x:c r="F62" s="107" t="n">
        <x:v>2</x:v>
      </x:c>
      <x:c r="G62" s="107" t="str">
        <x:v>Plans</x:v>
      </x:c>
      <x:c r="H62" s="103" t="str">
        <x:v>Preventive Health &amp; Wellbeing — Maintain health instead of acting only when illness becomes urgent.</x:v>
      </x:c>
      <x:c r="I62" s="103" t="str">
        <x:v>Preventive Health &amp; Wellbeing Plan</x:v>
      </x:c>
      <x:c r="J62" s="103" t="str">
        <x:v>Set goals, budgets, schedules, thresholds, scenarios, and priorities for preventive health &amp; wellbeing.</x:v>
      </x:c>
      <x:c r="K62" s="103" t="str">
        <x:v>checkups; vaccines; tests; dental; vision; fitness; sleep; nutrition; mental wellbeing</x:v>
      </x:c>
      <x:c r="L62" s="103" t="str">
        <x:v>MVP Core</x:v>
      </x:c>
      <x:c r="M62" s="103" t="str">
        <x:f>IF(B62&lt;='Unlock Map'!$B$11,"Enabled","Locked")</x:f>
        <x:v>Enabled</x:v>
      </x:c>
    </x:row>
    <x:row r="63" ht="54" customHeight="1">
      <x:c r="A63" s="107" t="str">
        <x:v>S2-D2-E3</x:v>
      </x:c>
      <x:c r="B63" s="107" t="n">
        <x:v>2</x:v>
      </x:c>
      <x:c r="C63" s="107" t="str">
        <x:v>Living</x:v>
      </x:c>
      <x:c r="D63" s="107" t="n">
        <x:v>2</x:v>
      </x:c>
      <x:c r="E63" s="107" t="str">
        <x:v>Health &amp; Care</x:v>
      </x:c>
      <x:c r="F63" s="107" t="n">
        <x:v>3</x:v>
      </x:c>
      <x:c r="G63" s="107" t="str">
        <x:v>Actions</x:v>
      </x:c>
      <x:c r="H63" s="103" t="str">
        <x:v>Preventive Health &amp; Wellbeing — Maintain health instead of acting only when illness becomes urgent.</x:v>
      </x:c>
      <x:c r="I63" s="103" t="str">
        <x:v>Preventive Health &amp; Wellbeing Actions</x:v>
      </x:c>
      <x:c r="J63" s="103" t="str">
        <x:v>Turn the preventive health &amp; wellbeing plan into owned tasks, routines, transactions, projects, and follow-ups.</x:v>
      </x:c>
      <x:c r="K63" s="103" t="str">
        <x:v>checkups; vaccines; tests; dental; vision; fitness; sleep; nutrition; mental wellbeing</x:v>
      </x:c>
      <x:c r="L63" s="103" t="str">
        <x:v>MVP Core</x:v>
      </x:c>
      <x:c r="M63" s="103" t="str">
        <x:f>IF(B63&lt;='Unlock Map'!$B$11,"Enabled","Locked")</x:f>
        <x:v>Enabled</x:v>
      </x:c>
    </x:row>
    <x:row r="64" ht="54" customHeight="1">
      <x:c r="A64" s="107" t="str">
        <x:v>S2-D2-E4</x:v>
      </x:c>
      <x:c r="B64" s="107" t="n">
        <x:v>2</x:v>
      </x:c>
      <x:c r="C64" s="107" t="str">
        <x:v>Living</x:v>
      </x:c>
      <x:c r="D64" s="107" t="n">
        <x:v>2</x:v>
      </x:c>
      <x:c r="E64" s="107" t="str">
        <x:v>Health &amp; Care</x:v>
      </x:c>
      <x:c r="F64" s="107" t="n">
        <x:v>4</x:v>
      </x:c>
      <x:c r="G64" s="107" t="str">
        <x:v>Collaboration</x:v>
      </x:c>
      <x:c r="H64" s="103" t="str">
        <x:v>Preventive Health &amp; Wellbeing — Maintain health instead of acting only when illness becomes urgent.</x:v>
      </x:c>
      <x:c r="I64" s="103" t="str">
        <x:v>Preventive Health &amp; Wellbeing Coordination</x:v>
      </x:c>
      <x:c r="J64" s="103" t="str">
        <x:v>Share roles, messages, approvals, handoffs, and appropriate external access for preventive health &amp; wellbeing.</x:v>
      </x:c>
      <x:c r="K64" s="103" t="str">
        <x:v>checkups; vaccines; tests; dental; vision; fitness; sleep; nutrition; mental wellbeing</x:v>
      </x:c>
      <x:c r="L64" s="103" t="str">
        <x:v>MVP Core</x:v>
      </x:c>
      <x:c r="M64" s="103" t="str">
        <x:f>IF(B64&lt;='Unlock Map'!$B$11,"Enabled","Locked")</x:f>
        <x:v>Enabled</x:v>
      </x:c>
    </x:row>
    <x:row r="65" ht="54" customHeight="1">
      <x:c r="A65" s="107" t="str">
        <x:v>S2-D2-E5</x:v>
      </x:c>
      <x:c r="B65" s="107" t="n">
        <x:v>2</x:v>
      </x:c>
      <x:c r="C65" s="107" t="str">
        <x:v>Living</x:v>
      </x:c>
      <x:c r="D65" s="107" t="n">
        <x:v>2</x:v>
      </x:c>
      <x:c r="E65" s="107" t="str">
        <x:v>Health &amp; Care</x:v>
      </x:c>
      <x:c r="F65" s="107" t="n">
        <x:v>5</x:v>
      </x:c>
      <x:c r="G65" s="107" t="str">
        <x:v>Safeguards</x:v>
      </x:c>
      <x:c r="H65" s="103" t="str">
        <x:v>Preventive Health &amp; Wellbeing — Maintain health instead of acting only when illness becomes urgent.</x:v>
      </x:c>
      <x:c r="I65" s="103" t="str">
        <x:v>Preventive Health &amp; Wellbeing Controls</x:v>
      </x:c>
      <x:c r="J65" s="103" t="str">
        <x:v>Apply permissions, limits, alerts, evidence, contingency rules, and exception handling to preventive health &amp; wellbeing.</x:v>
      </x:c>
      <x:c r="K65" s="103" t="str">
        <x:v>checkups; vaccines; tests; dental; vision; fitness; sleep; nutrition; mental wellbeing</x:v>
      </x:c>
      <x:c r="L65" s="103" t="str">
        <x:v>MVP Core</x:v>
      </x:c>
      <x:c r="M65" s="103" t="str">
        <x:f>IF(B65&lt;='Unlock Map'!$B$11,"Enabled","Locked")</x:f>
        <x:v>Enabled</x:v>
      </x:c>
    </x:row>
    <x:row r="66" ht="54" customHeight="1">
      <x:c r="A66" s="107" t="str">
        <x:v>S2-D2-E6</x:v>
      </x:c>
      <x:c r="B66" s="107" t="n">
        <x:v>2</x:v>
      </x:c>
      <x:c r="C66" s="107" t="str">
        <x:v>Living</x:v>
      </x:c>
      <x:c r="D66" s="107" t="n">
        <x:v>2</x:v>
      </x:c>
      <x:c r="E66" s="107" t="str">
        <x:v>Health &amp; Care</x:v>
      </x:c>
      <x:c r="F66" s="107" t="n">
        <x:v>6</x:v>
      </x:c>
      <x:c r="G66" s="107" t="str">
        <x:v>Insights</x:v>
      </x:c>
      <x:c r="H66" s="103" t="str">
        <x:v>Preventive Health &amp; Wellbeing — Maintain health instead of acting only when illness becomes urgent.</x:v>
      </x:c>
      <x:c r="I66" s="103" t="str">
        <x:v>Preventive Health &amp; Wellbeing Review</x:v>
      </x:c>
      <x:c r="J66" s="103" t="str">
        <x:v>Show status, trends, gaps, risks, outcomes, and next decisions for preventive health &amp; wellbeing.</x:v>
      </x:c>
      <x:c r="K66" s="103" t="str">
        <x:v>checkups; vaccines; tests; dental; vision; fitness; sleep; nutrition; mental wellbeing</x:v>
      </x:c>
      <x:c r="L66" s="103" t="str">
        <x:v>MVP Core</x:v>
      </x:c>
      <x:c r="M66" s="103" t="str">
        <x:f>IF(B66&lt;='Unlock Map'!$B$11,"Enabled","Locked")</x:f>
        <x:v>Enabled</x:v>
      </x:c>
    </x:row>
    <x:row r="67" ht="54" customHeight="1">
      <x:c r="A67" s="107" t="str">
        <x:v>S2-D2-E7</x:v>
      </x:c>
      <x:c r="B67" s="107" t="n">
        <x:v>2</x:v>
      </x:c>
      <x:c r="C67" s="107" t="str">
        <x:v>Living</x:v>
      </x:c>
      <x:c r="D67" s="107" t="n">
        <x:v>2</x:v>
      </x:c>
      <x:c r="E67" s="107" t="str">
        <x:v>Health &amp; Care</x:v>
      </x:c>
      <x:c r="F67" s="107" t="n">
        <x:v>7</x:v>
      </x:c>
      <x:c r="G67" s="107" t="str">
        <x:v>Automation</x:v>
      </x:c>
      <x:c r="H67" s="103" t="str">
        <x:v>Preventive Health &amp; Wellbeing — Maintain health instead of acting only when illness becomes urgent.</x:v>
      </x:c>
      <x:c r="I67" s="103" t="str">
        <x:v>Preventive Health &amp; Wellbeing Automation</x:v>
      </x:c>
      <x:c r="J67" s="103" t="str">
        <x:v>Use recurring rules, integrations, recommendations, and predictive reminders for preventive health &amp; wellbeing.</x:v>
      </x:c>
      <x:c r="K67" s="103" t="str">
        <x:v>checkups; vaccines; tests; dental; vision; fitness; sleep; nutrition; mental wellbeing</x:v>
      </x:c>
      <x:c r="L67" s="103" t="str">
        <x:v>MVP Core</x:v>
      </x:c>
      <x:c r="M67" s="103" t="str">
        <x:f>IF(B67&lt;='Unlock Map'!$B$11,"Enabled","Locked")</x:f>
        <x:v>Enabled</x:v>
      </x:c>
    </x:row>
    <x:row r="68" ht="54" customHeight="1">
      <x:c r="A68" s="107" t="str">
        <x:v>S2-D3-E1</x:v>
      </x:c>
      <x:c r="B68" s="107" t="n">
        <x:v>2</x:v>
      </x:c>
      <x:c r="C68" s="107" t="str">
        <x:v>Living</x:v>
      </x:c>
      <x:c r="D68" s="107" t="n">
        <x:v>3</x:v>
      </x:c>
      <x:c r="E68" s="107" t="str">
        <x:v>Education, Skills &amp; Knowledge</x:v>
      </x:c>
      <x:c r="F68" s="107" t="n">
        <x:v>1</x:v>
      </x:c>
      <x:c r="G68" s="107" t="str">
        <x:v>Records</x:v>
      </x:c>
      <x:c r="H68" s="103" t="str">
        <x:v>School Progress &amp; Basic Skills — Track education quality, progress, needs, and practical foundational skills.</x:v>
      </x:c>
      <x:c r="I68" s="103" t="str">
        <x:v>School Progress &amp; Basic Skills Register</x:v>
      </x:c>
      <x:c r="J68" s="103" t="str">
        <x:v>Capture and maintain timetables; assignments; attendance; grades; teachers; courses; certificates; learning support.</x:v>
      </x:c>
      <x:c r="K68" s="103" t="str">
        <x:v>timetables; assignments; attendance; grades; teachers; courses; certificates; learning support</x:v>
      </x:c>
      <x:c r="L68" s="103" t="str">
        <x:v>MVP Core</x:v>
      </x:c>
      <x:c r="M68" s="103" t="str">
        <x:f>IF(B68&lt;='Unlock Map'!$B$11,"Enabled","Locked")</x:f>
        <x:v>Enabled</x:v>
      </x:c>
    </x:row>
    <x:row r="69" ht="54" customHeight="1">
      <x:c r="A69" s="107" t="str">
        <x:v>S2-D3-E2</x:v>
      </x:c>
      <x:c r="B69" s="107" t="n">
        <x:v>2</x:v>
      </x:c>
      <x:c r="C69" s="107" t="str">
        <x:v>Living</x:v>
      </x:c>
      <x:c r="D69" s="107" t="n">
        <x:v>3</x:v>
      </x:c>
      <x:c r="E69" s="107" t="str">
        <x:v>Education, Skills &amp; Knowledge</x:v>
      </x:c>
      <x:c r="F69" s="107" t="n">
        <x:v>2</x:v>
      </x:c>
      <x:c r="G69" s="107" t="str">
        <x:v>Plans</x:v>
      </x:c>
      <x:c r="H69" s="103" t="str">
        <x:v>School Progress &amp; Basic Skills — Track education quality, progress, needs, and practical foundational skills.</x:v>
      </x:c>
      <x:c r="I69" s="103" t="str">
        <x:v>School Progress &amp; Basic Skills Plan</x:v>
      </x:c>
      <x:c r="J69" s="103" t="str">
        <x:v>Set goals, budgets, schedules, thresholds, scenarios, and priorities for school progress &amp; basic skills.</x:v>
      </x:c>
      <x:c r="K69" s="103" t="str">
        <x:v>timetables; assignments; attendance; grades; teachers; courses; certificates; learning support</x:v>
      </x:c>
      <x:c r="L69" s="103" t="str">
        <x:v>MVP Core</x:v>
      </x:c>
      <x:c r="M69" s="103" t="str">
        <x:f>IF(B69&lt;='Unlock Map'!$B$11,"Enabled","Locked")</x:f>
        <x:v>Enabled</x:v>
      </x:c>
    </x:row>
    <x:row r="70" ht="54" customHeight="1">
      <x:c r="A70" s="107" t="str">
        <x:v>S2-D3-E3</x:v>
      </x:c>
      <x:c r="B70" s="107" t="n">
        <x:v>2</x:v>
      </x:c>
      <x:c r="C70" s="107" t="str">
        <x:v>Living</x:v>
      </x:c>
      <x:c r="D70" s="107" t="n">
        <x:v>3</x:v>
      </x:c>
      <x:c r="E70" s="107" t="str">
        <x:v>Education, Skills &amp; Knowledge</x:v>
      </x:c>
      <x:c r="F70" s="107" t="n">
        <x:v>3</x:v>
      </x:c>
      <x:c r="G70" s="107" t="str">
        <x:v>Actions</x:v>
      </x:c>
      <x:c r="H70" s="103" t="str">
        <x:v>School Progress &amp; Basic Skills — Track education quality, progress, needs, and practical foundational skills.</x:v>
      </x:c>
      <x:c r="I70" s="103" t="str">
        <x:v>School Progress &amp; Basic Skills Actions</x:v>
      </x:c>
      <x:c r="J70" s="103" t="str">
        <x:v>Turn the school progress &amp; basic skills plan into owned tasks, routines, transactions, projects, and follow-ups.</x:v>
      </x:c>
      <x:c r="K70" s="103" t="str">
        <x:v>timetables; assignments; attendance; grades; teachers; courses; certificates; learning support</x:v>
      </x:c>
      <x:c r="L70" s="103" t="str">
        <x:v>MVP Core</x:v>
      </x:c>
      <x:c r="M70" s="103" t="str">
        <x:f>IF(B70&lt;='Unlock Map'!$B$11,"Enabled","Locked")</x:f>
        <x:v>Enabled</x:v>
      </x:c>
    </x:row>
    <x:row r="71" ht="54" customHeight="1">
      <x:c r="A71" s="107" t="str">
        <x:v>S2-D3-E4</x:v>
      </x:c>
      <x:c r="B71" s="107" t="n">
        <x:v>2</x:v>
      </x:c>
      <x:c r="C71" s="107" t="str">
        <x:v>Living</x:v>
      </x:c>
      <x:c r="D71" s="107" t="n">
        <x:v>3</x:v>
      </x:c>
      <x:c r="E71" s="107" t="str">
        <x:v>Education, Skills &amp; Knowledge</x:v>
      </x:c>
      <x:c r="F71" s="107" t="n">
        <x:v>4</x:v>
      </x:c>
      <x:c r="G71" s="107" t="str">
        <x:v>Collaboration</x:v>
      </x:c>
      <x:c r="H71" s="103" t="str">
        <x:v>School Progress &amp; Basic Skills — Track education quality, progress, needs, and practical foundational skills.</x:v>
      </x:c>
      <x:c r="I71" s="103" t="str">
        <x:v>School Progress &amp; Basic Skills Coordination</x:v>
      </x:c>
      <x:c r="J71" s="103" t="str">
        <x:v>Share roles, messages, approvals, handoffs, and appropriate external access for school progress &amp; basic skills.</x:v>
      </x:c>
      <x:c r="K71" s="103" t="str">
        <x:v>timetables; assignments; attendance; grades; teachers; courses; certificates; learning support</x:v>
      </x:c>
      <x:c r="L71" s="103" t="str">
        <x:v>MVP Core</x:v>
      </x:c>
      <x:c r="M71" s="103" t="str">
        <x:f>IF(B71&lt;='Unlock Map'!$B$11,"Enabled","Locked")</x:f>
        <x:v>Enabled</x:v>
      </x:c>
    </x:row>
    <x:row r="72" ht="54" customHeight="1">
      <x:c r="A72" s="107" t="str">
        <x:v>S2-D3-E5</x:v>
      </x:c>
      <x:c r="B72" s="107" t="n">
        <x:v>2</x:v>
      </x:c>
      <x:c r="C72" s="107" t="str">
        <x:v>Living</x:v>
      </x:c>
      <x:c r="D72" s="107" t="n">
        <x:v>3</x:v>
      </x:c>
      <x:c r="E72" s="107" t="str">
        <x:v>Education, Skills &amp; Knowledge</x:v>
      </x:c>
      <x:c r="F72" s="107" t="n">
        <x:v>5</x:v>
      </x:c>
      <x:c r="G72" s="107" t="str">
        <x:v>Safeguards</x:v>
      </x:c>
      <x:c r="H72" s="103" t="str">
        <x:v>School Progress &amp; Basic Skills — Track education quality, progress, needs, and practical foundational skills.</x:v>
      </x:c>
      <x:c r="I72" s="103" t="str">
        <x:v>School Progress &amp; Basic Skills Controls</x:v>
      </x:c>
      <x:c r="J72" s="103" t="str">
        <x:v>Apply permissions, limits, alerts, evidence, contingency rules, and exception handling to school progress &amp; basic skills.</x:v>
      </x:c>
      <x:c r="K72" s="103" t="str">
        <x:v>timetables; assignments; attendance; grades; teachers; courses; certificates; learning support</x:v>
      </x:c>
      <x:c r="L72" s="103" t="str">
        <x:v>MVP Core</x:v>
      </x:c>
      <x:c r="M72" s="103" t="str">
        <x:f>IF(B72&lt;='Unlock Map'!$B$11,"Enabled","Locked")</x:f>
        <x:v>Enabled</x:v>
      </x:c>
    </x:row>
    <x:row r="73" ht="54" customHeight="1">
      <x:c r="A73" s="107" t="str">
        <x:v>S2-D3-E6</x:v>
      </x:c>
      <x:c r="B73" s="107" t="n">
        <x:v>2</x:v>
      </x:c>
      <x:c r="C73" s="107" t="str">
        <x:v>Living</x:v>
      </x:c>
      <x:c r="D73" s="107" t="n">
        <x:v>3</x:v>
      </x:c>
      <x:c r="E73" s="107" t="str">
        <x:v>Education, Skills &amp; Knowledge</x:v>
      </x:c>
      <x:c r="F73" s="107" t="n">
        <x:v>6</x:v>
      </x:c>
      <x:c r="G73" s="107" t="str">
        <x:v>Insights</x:v>
      </x:c>
      <x:c r="H73" s="103" t="str">
        <x:v>School Progress &amp; Basic Skills — Track education quality, progress, needs, and practical foundational skills.</x:v>
      </x:c>
      <x:c r="I73" s="103" t="str">
        <x:v>School Progress &amp; Basic Skills Review</x:v>
      </x:c>
      <x:c r="J73" s="103" t="str">
        <x:v>Show status, trends, gaps, risks, outcomes, and next decisions for school progress &amp; basic skills.</x:v>
      </x:c>
      <x:c r="K73" s="103" t="str">
        <x:v>timetables; assignments; attendance; grades; teachers; courses; certificates; learning support</x:v>
      </x:c>
      <x:c r="L73" s="103" t="str">
        <x:v>MVP Core</x:v>
      </x:c>
      <x:c r="M73" s="103" t="str">
        <x:f>IF(B73&lt;='Unlock Map'!$B$11,"Enabled","Locked")</x:f>
        <x:v>Enabled</x:v>
      </x:c>
    </x:row>
    <x:row r="74" ht="54" customHeight="1">
      <x:c r="A74" s="107" t="str">
        <x:v>S2-D3-E7</x:v>
      </x:c>
      <x:c r="B74" s="107" t="n">
        <x:v>2</x:v>
      </x:c>
      <x:c r="C74" s="107" t="str">
        <x:v>Living</x:v>
      </x:c>
      <x:c r="D74" s="107" t="n">
        <x:v>3</x:v>
      </x:c>
      <x:c r="E74" s="107" t="str">
        <x:v>Education, Skills &amp; Knowledge</x:v>
      </x:c>
      <x:c r="F74" s="107" t="n">
        <x:v>7</x:v>
      </x:c>
      <x:c r="G74" s="107" t="str">
        <x:v>Automation</x:v>
      </x:c>
      <x:c r="H74" s="103" t="str">
        <x:v>School Progress &amp; Basic Skills — Track education quality, progress, needs, and practical foundational skills.</x:v>
      </x:c>
      <x:c r="I74" s="103" t="str">
        <x:v>School Progress &amp; Basic Skills Automation</x:v>
      </x:c>
      <x:c r="J74" s="103" t="str">
        <x:v>Use recurring rules, integrations, recommendations, and predictive reminders for school progress &amp; basic skills.</x:v>
      </x:c>
      <x:c r="K74" s="103" t="str">
        <x:v>timetables; assignments; attendance; grades; teachers; courses; certificates; learning support</x:v>
      </x:c>
      <x:c r="L74" s="103" t="str">
        <x:v>MVP Core</x:v>
      </x:c>
      <x:c r="M74" s="103" t="str">
        <x:f>IF(B74&lt;='Unlock Map'!$B$11,"Enabled","Locked")</x:f>
        <x:v>Enabled</x:v>
      </x:c>
    </x:row>
    <x:row r="75" ht="54" customHeight="1">
      <x:c r="A75" s="107" t="str">
        <x:v>S2-D4-E1</x:v>
      </x:c>
      <x:c r="B75" s="107" t="n">
        <x:v>2</x:v>
      </x:c>
      <x:c r="C75" s="107" t="str">
        <x:v>Living</x:v>
      </x:c>
      <x:c r="D75" s="107" t="n">
        <x:v>4</x:v>
      </x:c>
      <x:c r="E75" s="107" t="str">
        <x:v>Home, Utilities &amp; Assets</x:v>
      </x:c>
      <x:c r="F75" s="107" t="n">
        <x:v>1</x:v>
      </x:c>
      <x:c r="G75" s="107" t="str">
        <x:v>Records</x:v>
      </x:c>
      <x:c r="H75" s="103" t="str">
        <x:v>Maintenance, Utilities &amp; Inventory — Keep the physical home functional, clean, stocked, and cost-efficient.</x:v>
      </x:c>
      <x:c r="I75" s="103" t="str">
        <x:v>Maintenance, Utilities &amp; Inventory Register</x:v>
      </x:c>
      <x:c r="J75" s="103" t="str">
        <x:v>Capture and maintain utilities; meters; appliances; warranties; maintenance; cleaning; rooms; household inventory.</x:v>
      </x:c>
      <x:c r="K75" s="103" t="str">
        <x:v>utilities; meters; appliances; warranties; maintenance; cleaning; rooms; household inventory</x:v>
      </x:c>
      <x:c r="L75" s="103" t="str">
        <x:v>MVP Core</x:v>
      </x:c>
      <x:c r="M75" s="103" t="str">
        <x:f>IF(B75&lt;='Unlock Map'!$B$11,"Enabled","Locked")</x:f>
        <x:v>Enabled</x:v>
      </x:c>
    </x:row>
    <x:row r="76" ht="54" customHeight="1">
      <x:c r="A76" s="107" t="str">
        <x:v>S2-D4-E2</x:v>
      </x:c>
      <x:c r="B76" s="107" t="n">
        <x:v>2</x:v>
      </x:c>
      <x:c r="C76" s="107" t="str">
        <x:v>Living</x:v>
      </x:c>
      <x:c r="D76" s="107" t="n">
        <x:v>4</x:v>
      </x:c>
      <x:c r="E76" s="107" t="str">
        <x:v>Home, Utilities &amp; Assets</x:v>
      </x:c>
      <x:c r="F76" s="107" t="n">
        <x:v>2</x:v>
      </x:c>
      <x:c r="G76" s="107" t="str">
        <x:v>Plans</x:v>
      </x:c>
      <x:c r="H76" s="103" t="str">
        <x:v>Maintenance, Utilities &amp; Inventory — Keep the physical home functional, clean, stocked, and cost-efficient.</x:v>
      </x:c>
      <x:c r="I76" s="103" t="str">
        <x:v>Maintenance, Utilities &amp; Inventory Plan</x:v>
      </x:c>
      <x:c r="J76" s="103" t="str">
        <x:v>Set goals, budgets, schedules, thresholds, scenarios, and priorities for maintenance, utilities &amp; inventory.</x:v>
      </x:c>
      <x:c r="K76" s="103" t="str">
        <x:v>utilities; meters; appliances; warranties; maintenance; cleaning; rooms; household inventory</x:v>
      </x:c>
      <x:c r="L76" s="103" t="str">
        <x:v>MVP Core</x:v>
      </x:c>
      <x:c r="M76" s="103" t="str">
        <x:f>IF(B76&lt;='Unlock Map'!$B$11,"Enabled","Locked")</x:f>
        <x:v>Enabled</x:v>
      </x:c>
    </x:row>
    <x:row r="77" ht="54" customHeight="1">
      <x:c r="A77" s="107" t="str">
        <x:v>S2-D4-E3</x:v>
      </x:c>
      <x:c r="B77" s="107" t="n">
        <x:v>2</x:v>
      </x:c>
      <x:c r="C77" s="107" t="str">
        <x:v>Living</x:v>
      </x:c>
      <x:c r="D77" s="107" t="n">
        <x:v>4</x:v>
      </x:c>
      <x:c r="E77" s="107" t="str">
        <x:v>Home, Utilities &amp; Assets</x:v>
      </x:c>
      <x:c r="F77" s="107" t="n">
        <x:v>3</x:v>
      </x:c>
      <x:c r="G77" s="107" t="str">
        <x:v>Actions</x:v>
      </x:c>
      <x:c r="H77" s="103" t="str">
        <x:v>Maintenance, Utilities &amp; Inventory — Keep the physical home functional, clean, stocked, and cost-efficient.</x:v>
      </x:c>
      <x:c r="I77" s="103" t="str">
        <x:v>Maintenance, Utilities &amp; Inventory Actions</x:v>
      </x:c>
      <x:c r="J77" s="103" t="str">
        <x:v>Turn the maintenance, utilities &amp; inventory plan into owned tasks, routines, transactions, projects, and follow-ups.</x:v>
      </x:c>
      <x:c r="K77" s="103" t="str">
        <x:v>utilities; meters; appliances; warranties; maintenance; cleaning; rooms; household inventory</x:v>
      </x:c>
      <x:c r="L77" s="103" t="str">
        <x:v>MVP Core</x:v>
      </x:c>
      <x:c r="M77" s="103" t="str">
        <x:f>IF(B77&lt;='Unlock Map'!$B$11,"Enabled","Locked")</x:f>
        <x:v>Enabled</x:v>
      </x:c>
    </x:row>
    <x:row r="78" ht="54" customHeight="1">
      <x:c r="A78" s="107" t="str">
        <x:v>S2-D4-E4</x:v>
      </x:c>
      <x:c r="B78" s="107" t="n">
        <x:v>2</x:v>
      </x:c>
      <x:c r="C78" s="107" t="str">
        <x:v>Living</x:v>
      </x:c>
      <x:c r="D78" s="107" t="n">
        <x:v>4</x:v>
      </x:c>
      <x:c r="E78" s="107" t="str">
        <x:v>Home, Utilities &amp; Assets</x:v>
      </x:c>
      <x:c r="F78" s="107" t="n">
        <x:v>4</x:v>
      </x:c>
      <x:c r="G78" s="107" t="str">
        <x:v>Collaboration</x:v>
      </x:c>
      <x:c r="H78" s="103" t="str">
        <x:v>Maintenance, Utilities &amp; Inventory — Keep the physical home functional, clean, stocked, and cost-efficient.</x:v>
      </x:c>
      <x:c r="I78" s="103" t="str">
        <x:v>Maintenance, Utilities &amp; Inventory Coordination</x:v>
      </x:c>
      <x:c r="J78" s="103" t="str">
        <x:v>Share roles, messages, approvals, handoffs, and appropriate external access for maintenance, utilities &amp; inventory.</x:v>
      </x:c>
      <x:c r="K78" s="103" t="str">
        <x:v>utilities; meters; appliances; warranties; maintenance; cleaning; rooms; household inventory</x:v>
      </x:c>
      <x:c r="L78" s="103" t="str">
        <x:v>MVP Core</x:v>
      </x:c>
      <x:c r="M78" s="103" t="str">
        <x:f>IF(B78&lt;='Unlock Map'!$B$11,"Enabled","Locked")</x:f>
        <x:v>Enabled</x:v>
      </x:c>
    </x:row>
    <x:row r="79" ht="54" customHeight="1">
      <x:c r="A79" s="107" t="str">
        <x:v>S2-D4-E5</x:v>
      </x:c>
      <x:c r="B79" s="107" t="n">
        <x:v>2</x:v>
      </x:c>
      <x:c r="C79" s="107" t="str">
        <x:v>Living</x:v>
      </x:c>
      <x:c r="D79" s="107" t="n">
        <x:v>4</x:v>
      </x:c>
      <x:c r="E79" s="107" t="str">
        <x:v>Home, Utilities &amp; Assets</x:v>
      </x:c>
      <x:c r="F79" s="107" t="n">
        <x:v>5</x:v>
      </x:c>
      <x:c r="G79" s="107" t="str">
        <x:v>Safeguards</x:v>
      </x:c>
      <x:c r="H79" s="103" t="str">
        <x:v>Maintenance, Utilities &amp; Inventory — Keep the physical home functional, clean, stocked, and cost-efficient.</x:v>
      </x:c>
      <x:c r="I79" s="103" t="str">
        <x:v>Maintenance, Utilities &amp; Inventory Controls</x:v>
      </x:c>
      <x:c r="J79" s="103" t="str">
        <x:v>Apply permissions, limits, alerts, evidence, contingency rules, and exception handling to maintenance, utilities &amp; inventory.</x:v>
      </x:c>
      <x:c r="K79" s="103" t="str">
        <x:v>utilities; meters; appliances; warranties; maintenance; cleaning; rooms; household inventory</x:v>
      </x:c>
      <x:c r="L79" s="103" t="str">
        <x:v>MVP Core</x:v>
      </x:c>
      <x:c r="M79" s="103" t="str">
        <x:f>IF(B79&lt;='Unlock Map'!$B$11,"Enabled","Locked")</x:f>
        <x:v>Enabled</x:v>
      </x:c>
    </x:row>
    <x:row r="80" ht="54" customHeight="1">
      <x:c r="A80" s="107" t="str">
        <x:v>S2-D4-E6</x:v>
      </x:c>
      <x:c r="B80" s="107" t="n">
        <x:v>2</x:v>
      </x:c>
      <x:c r="C80" s="107" t="str">
        <x:v>Living</x:v>
      </x:c>
      <x:c r="D80" s="107" t="n">
        <x:v>4</x:v>
      </x:c>
      <x:c r="E80" s="107" t="str">
        <x:v>Home, Utilities &amp; Assets</x:v>
      </x:c>
      <x:c r="F80" s="107" t="n">
        <x:v>6</x:v>
      </x:c>
      <x:c r="G80" s="107" t="str">
        <x:v>Insights</x:v>
      </x:c>
      <x:c r="H80" s="103" t="str">
        <x:v>Maintenance, Utilities &amp; Inventory — Keep the physical home functional, clean, stocked, and cost-efficient.</x:v>
      </x:c>
      <x:c r="I80" s="103" t="str">
        <x:v>Maintenance, Utilities &amp; Inventory Review</x:v>
      </x:c>
      <x:c r="J80" s="103" t="str">
        <x:v>Show status, trends, gaps, risks, outcomes, and next decisions for maintenance, utilities &amp; inventory.</x:v>
      </x:c>
      <x:c r="K80" s="103" t="str">
        <x:v>utilities; meters; appliances; warranties; maintenance; cleaning; rooms; household inventory</x:v>
      </x:c>
      <x:c r="L80" s="103" t="str">
        <x:v>MVP Core</x:v>
      </x:c>
      <x:c r="M80" s="103" t="str">
        <x:f>IF(B80&lt;='Unlock Map'!$B$11,"Enabled","Locked")</x:f>
        <x:v>Enabled</x:v>
      </x:c>
    </x:row>
    <x:row r="81" ht="54" customHeight="1">
      <x:c r="A81" s="107" t="str">
        <x:v>S2-D4-E7</x:v>
      </x:c>
      <x:c r="B81" s="107" t="n">
        <x:v>2</x:v>
      </x:c>
      <x:c r="C81" s="107" t="str">
        <x:v>Living</x:v>
      </x:c>
      <x:c r="D81" s="107" t="n">
        <x:v>4</x:v>
      </x:c>
      <x:c r="E81" s="107" t="str">
        <x:v>Home, Utilities &amp; Assets</x:v>
      </x:c>
      <x:c r="F81" s="107" t="n">
        <x:v>7</x:v>
      </x:c>
      <x:c r="G81" s="107" t="str">
        <x:v>Automation</x:v>
      </x:c>
      <x:c r="H81" s="103" t="str">
        <x:v>Maintenance, Utilities &amp; Inventory — Keep the physical home functional, clean, stocked, and cost-efficient.</x:v>
      </x:c>
      <x:c r="I81" s="103" t="str">
        <x:v>Maintenance, Utilities &amp; Inventory Automation</x:v>
      </x:c>
      <x:c r="J81" s="103" t="str">
        <x:v>Use recurring rules, integrations, recommendations, and predictive reminders for maintenance, utilities &amp; inventory.</x:v>
      </x:c>
      <x:c r="K81" s="103" t="str">
        <x:v>utilities; meters; appliances; warranties; maintenance; cleaning; rooms; household inventory</x:v>
      </x:c>
      <x:c r="L81" s="103" t="str">
        <x:v>MVP Core</x:v>
      </x:c>
      <x:c r="M81" s="103" t="str">
        <x:f>IF(B81&lt;='Unlock Map'!$B$11,"Enabled","Locked")</x:f>
        <x:v>Enabled</x:v>
      </x:c>
    </x:row>
    <x:row r="82" ht="54" customHeight="1">
      <x:c r="A82" s="107" t="str">
        <x:v>S2-D5-E1</x:v>
      </x:c>
      <x:c r="B82" s="107" t="n">
        <x:v>2</x:v>
      </x:c>
      <x:c r="C82" s="107" t="str">
        <x:v>Living</x:v>
      </x:c>
      <x:c r="D82" s="107" t="n">
        <x:v>5</x:v>
      </x:c>
      <x:c r="E82" s="107" t="str">
        <x:v>Food, Time &amp; Daily Operations</x:v>
      </x:c>
      <x:c r="F82" s="107" t="n">
        <x:v>1</x:v>
      </x:c>
      <x:c r="G82" s="107" t="str">
        <x:v>Records</x:v>
      </x:c>
      <x:c r="H82" s="103" t="str">
        <x:v>Meals, Calendar &amp; Household Tasks — Coordinate normal life without relying on memory and last-minute effort.</x:v>
      </x:c>
      <x:c r="I82" s="103" t="str">
        <x:v>Meals, Calendar &amp; Household Tasks Register</x:v>
      </x:c>
      <x:c r="J82" s="103" t="str">
        <x:v>Capture and maintain meal plans; recipes; calendar; chores; shopping; deliveries; vehicles; routine travel.</x:v>
      </x:c>
      <x:c r="K82" s="103" t="str">
        <x:v>meal plans; recipes; calendar; chores; shopping; deliveries; vehicles; routine travel</x:v>
      </x:c>
      <x:c r="L82" s="103" t="str">
        <x:v>MVP Core</x:v>
      </x:c>
      <x:c r="M82" s="103" t="str">
        <x:f>IF(B82&lt;='Unlock Map'!$B$11,"Enabled","Locked")</x:f>
        <x:v>Enabled</x:v>
      </x:c>
    </x:row>
    <x:row r="83" ht="54" customHeight="1">
      <x:c r="A83" s="107" t="str">
        <x:v>S2-D5-E2</x:v>
      </x:c>
      <x:c r="B83" s="107" t="n">
        <x:v>2</x:v>
      </x:c>
      <x:c r="C83" s="107" t="str">
        <x:v>Living</x:v>
      </x:c>
      <x:c r="D83" s="107" t="n">
        <x:v>5</x:v>
      </x:c>
      <x:c r="E83" s="107" t="str">
        <x:v>Food, Time &amp; Daily Operations</x:v>
      </x:c>
      <x:c r="F83" s="107" t="n">
        <x:v>2</x:v>
      </x:c>
      <x:c r="G83" s="107" t="str">
        <x:v>Plans</x:v>
      </x:c>
      <x:c r="H83" s="103" t="str">
        <x:v>Meals, Calendar &amp; Household Tasks — Coordinate normal life without relying on memory and last-minute effort.</x:v>
      </x:c>
      <x:c r="I83" s="103" t="str">
        <x:v>Meals, Calendar &amp; Household Tasks Plan</x:v>
      </x:c>
      <x:c r="J83" s="103" t="str">
        <x:v>Set goals, budgets, schedules, thresholds, scenarios, and priorities for meals, calendar &amp; household tasks.</x:v>
      </x:c>
      <x:c r="K83" s="103" t="str">
        <x:v>meal plans; recipes; calendar; chores; shopping; deliveries; vehicles; routine travel</x:v>
      </x:c>
      <x:c r="L83" s="103" t="str">
        <x:v>MVP Core</x:v>
      </x:c>
      <x:c r="M83" s="103" t="str">
        <x:f>IF(B83&lt;='Unlock Map'!$B$11,"Enabled","Locked")</x:f>
        <x:v>Enabled</x:v>
      </x:c>
    </x:row>
    <x:row r="84" ht="54" customHeight="1">
      <x:c r="A84" s="107" t="str">
        <x:v>S2-D5-E3</x:v>
      </x:c>
      <x:c r="B84" s="107" t="n">
        <x:v>2</x:v>
      </x:c>
      <x:c r="C84" s="107" t="str">
        <x:v>Living</x:v>
      </x:c>
      <x:c r="D84" s="107" t="n">
        <x:v>5</x:v>
      </x:c>
      <x:c r="E84" s="107" t="str">
        <x:v>Food, Time &amp; Daily Operations</x:v>
      </x:c>
      <x:c r="F84" s="107" t="n">
        <x:v>3</x:v>
      </x:c>
      <x:c r="G84" s="107" t="str">
        <x:v>Actions</x:v>
      </x:c>
      <x:c r="H84" s="103" t="str">
        <x:v>Meals, Calendar &amp; Household Tasks — Coordinate normal life without relying on memory and last-minute effort.</x:v>
      </x:c>
      <x:c r="I84" s="103" t="str">
        <x:v>Meals, Calendar &amp; Household Tasks Actions</x:v>
      </x:c>
      <x:c r="J84" s="103" t="str">
        <x:v>Turn the meals, calendar &amp; household tasks plan into owned tasks, routines, transactions, projects, and follow-ups.</x:v>
      </x:c>
      <x:c r="K84" s="103" t="str">
        <x:v>meal plans; recipes; calendar; chores; shopping; deliveries; vehicles; routine travel</x:v>
      </x:c>
      <x:c r="L84" s="103" t="str">
        <x:v>MVP Core</x:v>
      </x:c>
      <x:c r="M84" s="103" t="str">
        <x:f>IF(B84&lt;='Unlock Map'!$B$11,"Enabled","Locked")</x:f>
        <x:v>Enabled</x:v>
      </x:c>
    </x:row>
    <x:row r="85" ht="54" customHeight="1">
      <x:c r="A85" s="107" t="str">
        <x:v>S2-D5-E4</x:v>
      </x:c>
      <x:c r="B85" s="107" t="n">
        <x:v>2</x:v>
      </x:c>
      <x:c r="C85" s="107" t="str">
        <x:v>Living</x:v>
      </x:c>
      <x:c r="D85" s="107" t="n">
        <x:v>5</x:v>
      </x:c>
      <x:c r="E85" s="107" t="str">
        <x:v>Food, Time &amp; Daily Operations</x:v>
      </x:c>
      <x:c r="F85" s="107" t="n">
        <x:v>4</x:v>
      </x:c>
      <x:c r="G85" s="107" t="str">
        <x:v>Collaboration</x:v>
      </x:c>
      <x:c r="H85" s="103" t="str">
        <x:v>Meals, Calendar &amp; Household Tasks — Coordinate normal life without relying on memory and last-minute effort.</x:v>
      </x:c>
      <x:c r="I85" s="103" t="str">
        <x:v>Meals, Calendar &amp; Household Tasks Coordination</x:v>
      </x:c>
      <x:c r="J85" s="103" t="str">
        <x:v>Share roles, messages, approvals, handoffs, and appropriate external access for meals, calendar &amp; household tasks.</x:v>
      </x:c>
      <x:c r="K85" s="103" t="str">
        <x:v>meal plans; recipes; calendar; chores; shopping; deliveries; vehicles; routine travel</x:v>
      </x:c>
      <x:c r="L85" s="103" t="str">
        <x:v>MVP Core</x:v>
      </x:c>
      <x:c r="M85" s="103" t="str">
        <x:f>IF(B85&lt;='Unlock Map'!$B$11,"Enabled","Locked")</x:f>
        <x:v>Enabled</x:v>
      </x:c>
    </x:row>
    <x:row r="86" ht="54" customHeight="1">
      <x:c r="A86" s="107" t="str">
        <x:v>S2-D5-E5</x:v>
      </x:c>
      <x:c r="B86" s="107" t="n">
        <x:v>2</x:v>
      </x:c>
      <x:c r="C86" s="107" t="str">
        <x:v>Living</x:v>
      </x:c>
      <x:c r="D86" s="107" t="n">
        <x:v>5</x:v>
      </x:c>
      <x:c r="E86" s="107" t="str">
        <x:v>Food, Time &amp; Daily Operations</x:v>
      </x:c>
      <x:c r="F86" s="107" t="n">
        <x:v>5</x:v>
      </x:c>
      <x:c r="G86" s="107" t="str">
        <x:v>Safeguards</x:v>
      </x:c>
      <x:c r="H86" s="103" t="str">
        <x:v>Meals, Calendar &amp; Household Tasks — Coordinate normal life without relying on memory and last-minute effort.</x:v>
      </x:c>
      <x:c r="I86" s="103" t="str">
        <x:v>Meals, Calendar &amp; Household Tasks Controls</x:v>
      </x:c>
      <x:c r="J86" s="103" t="str">
        <x:v>Apply permissions, limits, alerts, evidence, contingency rules, and exception handling to meals, calendar &amp; household tasks.</x:v>
      </x:c>
      <x:c r="K86" s="103" t="str">
        <x:v>meal plans; recipes; calendar; chores; shopping; deliveries; vehicles; routine travel</x:v>
      </x:c>
      <x:c r="L86" s="103" t="str">
        <x:v>MVP Core</x:v>
      </x:c>
      <x:c r="M86" s="103" t="str">
        <x:f>IF(B86&lt;='Unlock Map'!$B$11,"Enabled","Locked")</x:f>
        <x:v>Enabled</x:v>
      </x:c>
    </x:row>
    <x:row r="87" ht="54" customHeight="1">
      <x:c r="A87" s="107" t="str">
        <x:v>S2-D5-E6</x:v>
      </x:c>
      <x:c r="B87" s="107" t="n">
        <x:v>2</x:v>
      </x:c>
      <x:c r="C87" s="107" t="str">
        <x:v>Living</x:v>
      </x:c>
      <x:c r="D87" s="107" t="n">
        <x:v>5</x:v>
      </x:c>
      <x:c r="E87" s="107" t="str">
        <x:v>Food, Time &amp; Daily Operations</x:v>
      </x:c>
      <x:c r="F87" s="107" t="n">
        <x:v>6</x:v>
      </x:c>
      <x:c r="G87" s="107" t="str">
        <x:v>Insights</x:v>
      </x:c>
      <x:c r="H87" s="103" t="str">
        <x:v>Meals, Calendar &amp; Household Tasks — Coordinate normal life without relying on memory and last-minute effort.</x:v>
      </x:c>
      <x:c r="I87" s="103" t="str">
        <x:v>Meals, Calendar &amp; Household Tasks Review</x:v>
      </x:c>
      <x:c r="J87" s="103" t="str">
        <x:v>Show status, trends, gaps, risks, outcomes, and next decisions for meals, calendar &amp; household tasks.</x:v>
      </x:c>
      <x:c r="K87" s="103" t="str">
        <x:v>meal plans; recipes; calendar; chores; shopping; deliveries; vehicles; routine travel</x:v>
      </x:c>
      <x:c r="L87" s="103" t="str">
        <x:v>MVP Core</x:v>
      </x:c>
      <x:c r="M87" s="103" t="str">
        <x:f>IF(B87&lt;='Unlock Map'!$B$11,"Enabled","Locked")</x:f>
        <x:v>Enabled</x:v>
      </x:c>
    </x:row>
    <x:row r="88" ht="54" customHeight="1">
      <x:c r="A88" s="107" t="str">
        <x:v>S2-D5-E7</x:v>
      </x:c>
      <x:c r="B88" s="107" t="n">
        <x:v>2</x:v>
      </x:c>
      <x:c r="C88" s="107" t="str">
        <x:v>Living</x:v>
      </x:c>
      <x:c r="D88" s="107" t="n">
        <x:v>5</x:v>
      </x:c>
      <x:c r="E88" s="107" t="str">
        <x:v>Food, Time &amp; Daily Operations</x:v>
      </x:c>
      <x:c r="F88" s="107" t="n">
        <x:v>7</x:v>
      </x:c>
      <x:c r="G88" s="107" t="str">
        <x:v>Automation</x:v>
      </x:c>
      <x:c r="H88" s="103" t="str">
        <x:v>Meals, Calendar &amp; Household Tasks — Coordinate normal life without relying on memory and last-minute effort.</x:v>
      </x:c>
      <x:c r="I88" s="103" t="str">
        <x:v>Meals, Calendar &amp; Household Tasks Automation</x:v>
      </x:c>
      <x:c r="J88" s="103" t="str">
        <x:v>Use recurring rules, integrations, recommendations, and predictive reminders for meals, calendar &amp; household tasks.</x:v>
      </x:c>
      <x:c r="K88" s="103" t="str">
        <x:v>meal plans; recipes; calendar; chores; shopping; deliveries; vehicles; routine travel</x:v>
      </x:c>
      <x:c r="L88" s="103" t="str">
        <x:v>MVP Core</x:v>
      </x:c>
      <x:c r="M88" s="103" t="str">
        <x:f>IF(B88&lt;='Unlock Map'!$B$11,"Enabled","Locked")</x:f>
        <x:v>Enabled</x:v>
      </x:c>
    </x:row>
    <x:row r="89" ht="54" customHeight="1">
      <x:c r="A89" s="107" t="str">
        <x:v>S2-D6-E1</x:v>
      </x:c>
      <x:c r="B89" s="107" t="n">
        <x:v>2</x:v>
      </x:c>
      <x:c r="C89" s="107" t="str">
        <x:v>Living</x:v>
      </x:c>
      <x:c r="D89" s="107" t="n">
        <x:v>6</x:v>
      </x:c>
      <x:c r="E89" s="107" t="str">
        <x:v>Family, Relationships &amp; Community</x:v>
      </x:c>
      <x:c r="F89" s="107" t="n">
        <x:v>1</x:v>
      </x:c>
      <x:c r="G89" s="107" t="str">
        <x:v>Records</x:v>
      </x:c>
      <x:c r="H89" s="103" t="str">
        <x:v>Family Routines &amp; Communication — Create dependable roles, meetings, care routines, celebrations, and relationship repair.</x:v>
      </x:c>
      <x:c r="I89" s="103" t="str">
        <x:v>Family Routines &amp; Communication Register</x:v>
      </x:c>
      <x:c r="J89" s="103" t="str">
        <x:v>Capture and maintain roles; responsibilities; family calendar; meetings; childcare; elder care; pets; guests.</x:v>
      </x:c>
      <x:c r="K89" s="103" t="str">
        <x:v>roles; responsibilities; family calendar; meetings; childcare; elder care; pets; guests</x:v>
      </x:c>
      <x:c r="L89" s="103" t="str">
        <x:v>MVP Core</x:v>
      </x:c>
      <x:c r="M89" s="103" t="str">
        <x:f>IF(B89&lt;='Unlock Map'!$B$11,"Enabled","Locked")</x:f>
        <x:v>Enabled</x:v>
      </x:c>
    </x:row>
    <x:row r="90" ht="54" customHeight="1">
      <x:c r="A90" s="107" t="str">
        <x:v>S2-D6-E2</x:v>
      </x:c>
      <x:c r="B90" s="107" t="n">
        <x:v>2</x:v>
      </x:c>
      <x:c r="C90" s="107" t="str">
        <x:v>Living</x:v>
      </x:c>
      <x:c r="D90" s="107" t="n">
        <x:v>6</x:v>
      </x:c>
      <x:c r="E90" s="107" t="str">
        <x:v>Family, Relationships &amp; Community</x:v>
      </x:c>
      <x:c r="F90" s="107" t="n">
        <x:v>2</x:v>
      </x:c>
      <x:c r="G90" s="107" t="str">
        <x:v>Plans</x:v>
      </x:c>
      <x:c r="H90" s="103" t="str">
        <x:v>Family Routines &amp; Communication — Create dependable roles, meetings, care routines, celebrations, and relationship repair.</x:v>
      </x:c>
      <x:c r="I90" s="103" t="str">
        <x:v>Family Routines &amp; Communication Plan</x:v>
      </x:c>
      <x:c r="J90" s="103" t="str">
        <x:v>Set goals, budgets, schedules, thresholds, scenarios, and priorities for family routines &amp; communication.</x:v>
      </x:c>
      <x:c r="K90" s="103" t="str">
        <x:v>roles; responsibilities; family calendar; meetings; childcare; elder care; pets; guests</x:v>
      </x:c>
      <x:c r="L90" s="103" t="str">
        <x:v>MVP Core</x:v>
      </x:c>
      <x:c r="M90" s="103" t="str">
        <x:f>IF(B90&lt;='Unlock Map'!$B$11,"Enabled","Locked")</x:f>
        <x:v>Enabled</x:v>
      </x:c>
    </x:row>
    <x:row r="91" ht="54" customHeight="1">
      <x:c r="A91" s="107" t="str">
        <x:v>S2-D6-E3</x:v>
      </x:c>
      <x:c r="B91" s="107" t="n">
        <x:v>2</x:v>
      </x:c>
      <x:c r="C91" s="107" t="str">
        <x:v>Living</x:v>
      </x:c>
      <x:c r="D91" s="107" t="n">
        <x:v>6</x:v>
      </x:c>
      <x:c r="E91" s="107" t="str">
        <x:v>Family, Relationships &amp; Community</x:v>
      </x:c>
      <x:c r="F91" s="107" t="n">
        <x:v>3</x:v>
      </x:c>
      <x:c r="G91" s="107" t="str">
        <x:v>Actions</x:v>
      </x:c>
      <x:c r="H91" s="103" t="str">
        <x:v>Family Routines &amp; Communication — Create dependable roles, meetings, care routines, celebrations, and relationship repair.</x:v>
      </x:c>
      <x:c r="I91" s="103" t="str">
        <x:v>Family Routines &amp; Communication Actions</x:v>
      </x:c>
      <x:c r="J91" s="103" t="str">
        <x:v>Turn the family routines &amp; communication plan into owned tasks, routines, transactions, projects, and follow-ups.</x:v>
      </x:c>
      <x:c r="K91" s="103" t="str">
        <x:v>roles; responsibilities; family calendar; meetings; childcare; elder care; pets; guests</x:v>
      </x:c>
      <x:c r="L91" s="103" t="str">
        <x:v>MVP Core</x:v>
      </x:c>
      <x:c r="M91" s="103" t="str">
        <x:f>IF(B91&lt;='Unlock Map'!$B$11,"Enabled","Locked")</x:f>
        <x:v>Enabled</x:v>
      </x:c>
    </x:row>
    <x:row r="92" ht="54" customHeight="1">
      <x:c r="A92" s="107" t="str">
        <x:v>S2-D6-E4</x:v>
      </x:c>
      <x:c r="B92" s="107" t="n">
        <x:v>2</x:v>
      </x:c>
      <x:c r="C92" s="107" t="str">
        <x:v>Living</x:v>
      </x:c>
      <x:c r="D92" s="107" t="n">
        <x:v>6</x:v>
      </x:c>
      <x:c r="E92" s="107" t="str">
        <x:v>Family, Relationships &amp; Community</x:v>
      </x:c>
      <x:c r="F92" s="107" t="n">
        <x:v>4</x:v>
      </x:c>
      <x:c r="G92" s="107" t="str">
        <x:v>Collaboration</x:v>
      </x:c>
      <x:c r="H92" s="103" t="str">
        <x:v>Family Routines &amp; Communication — Create dependable roles, meetings, care routines, celebrations, and relationship repair.</x:v>
      </x:c>
      <x:c r="I92" s="103" t="str">
        <x:v>Family Routines &amp; Communication Coordination</x:v>
      </x:c>
      <x:c r="J92" s="103" t="str">
        <x:v>Share roles, messages, approvals, handoffs, and appropriate external access for family routines &amp; communication.</x:v>
      </x:c>
      <x:c r="K92" s="103" t="str">
        <x:v>roles; responsibilities; family calendar; meetings; childcare; elder care; pets; guests</x:v>
      </x:c>
      <x:c r="L92" s="103" t="str">
        <x:v>MVP Core</x:v>
      </x:c>
      <x:c r="M92" s="103" t="str">
        <x:f>IF(B92&lt;='Unlock Map'!$B$11,"Enabled","Locked")</x:f>
        <x:v>Enabled</x:v>
      </x:c>
    </x:row>
    <x:row r="93" ht="54" customHeight="1">
      <x:c r="A93" s="107" t="str">
        <x:v>S2-D6-E5</x:v>
      </x:c>
      <x:c r="B93" s="107" t="n">
        <x:v>2</x:v>
      </x:c>
      <x:c r="C93" s="107" t="str">
        <x:v>Living</x:v>
      </x:c>
      <x:c r="D93" s="107" t="n">
        <x:v>6</x:v>
      </x:c>
      <x:c r="E93" s="107" t="str">
        <x:v>Family, Relationships &amp; Community</x:v>
      </x:c>
      <x:c r="F93" s="107" t="n">
        <x:v>5</x:v>
      </x:c>
      <x:c r="G93" s="107" t="str">
        <x:v>Safeguards</x:v>
      </x:c>
      <x:c r="H93" s="103" t="str">
        <x:v>Family Routines &amp; Communication — Create dependable roles, meetings, care routines, celebrations, and relationship repair.</x:v>
      </x:c>
      <x:c r="I93" s="103" t="str">
        <x:v>Family Routines &amp; Communication Controls</x:v>
      </x:c>
      <x:c r="J93" s="103" t="str">
        <x:v>Apply permissions, limits, alerts, evidence, contingency rules, and exception handling to family routines &amp; communication.</x:v>
      </x:c>
      <x:c r="K93" s="103" t="str">
        <x:v>roles; responsibilities; family calendar; meetings; childcare; elder care; pets; guests</x:v>
      </x:c>
      <x:c r="L93" s="103" t="str">
        <x:v>MVP Core</x:v>
      </x:c>
      <x:c r="M93" s="103" t="str">
        <x:f>IF(B93&lt;='Unlock Map'!$B$11,"Enabled","Locked")</x:f>
        <x:v>Enabled</x:v>
      </x:c>
    </x:row>
    <x:row r="94" ht="54" customHeight="1">
      <x:c r="A94" s="107" t="str">
        <x:v>S2-D6-E6</x:v>
      </x:c>
      <x:c r="B94" s="107" t="n">
        <x:v>2</x:v>
      </x:c>
      <x:c r="C94" s="107" t="str">
        <x:v>Living</x:v>
      </x:c>
      <x:c r="D94" s="107" t="n">
        <x:v>6</x:v>
      </x:c>
      <x:c r="E94" s="107" t="str">
        <x:v>Family, Relationships &amp; Community</x:v>
      </x:c>
      <x:c r="F94" s="107" t="n">
        <x:v>6</x:v>
      </x:c>
      <x:c r="G94" s="107" t="str">
        <x:v>Insights</x:v>
      </x:c>
      <x:c r="H94" s="103" t="str">
        <x:v>Family Routines &amp; Communication — Create dependable roles, meetings, care routines, celebrations, and relationship repair.</x:v>
      </x:c>
      <x:c r="I94" s="103" t="str">
        <x:v>Family Routines &amp; Communication Review</x:v>
      </x:c>
      <x:c r="J94" s="103" t="str">
        <x:v>Show status, trends, gaps, risks, outcomes, and next decisions for family routines &amp; communication.</x:v>
      </x:c>
      <x:c r="K94" s="103" t="str">
        <x:v>roles; responsibilities; family calendar; meetings; childcare; elder care; pets; guests</x:v>
      </x:c>
      <x:c r="L94" s="103" t="str">
        <x:v>MVP Core</x:v>
      </x:c>
      <x:c r="M94" s="103" t="str">
        <x:f>IF(B94&lt;='Unlock Map'!$B$11,"Enabled","Locked")</x:f>
        <x:v>Enabled</x:v>
      </x:c>
    </x:row>
    <x:row r="95" ht="54" customHeight="1">
      <x:c r="A95" s="107" t="str">
        <x:v>S2-D6-E7</x:v>
      </x:c>
      <x:c r="B95" s="107" t="n">
        <x:v>2</x:v>
      </x:c>
      <x:c r="C95" s="107" t="str">
        <x:v>Living</x:v>
      </x:c>
      <x:c r="D95" s="107" t="n">
        <x:v>6</x:v>
      </x:c>
      <x:c r="E95" s="107" t="str">
        <x:v>Family, Relationships &amp; Community</x:v>
      </x:c>
      <x:c r="F95" s="107" t="n">
        <x:v>7</x:v>
      </x:c>
      <x:c r="G95" s="107" t="str">
        <x:v>Automation</x:v>
      </x:c>
      <x:c r="H95" s="103" t="str">
        <x:v>Family Routines &amp; Communication — Create dependable roles, meetings, care routines, celebrations, and relationship repair.</x:v>
      </x:c>
      <x:c r="I95" s="103" t="str">
        <x:v>Family Routines &amp; Communication Automation</x:v>
      </x:c>
      <x:c r="J95" s="103" t="str">
        <x:v>Use recurring rules, integrations, recommendations, and predictive reminders for family routines &amp; communication.</x:v>
      </x:c>
      <x:c r="K95" s="103" t="str">
        <x:v>roles; responsibilities; family calendar; meetings; childcare; elder care; pets; guests</x:v>
      </x:c>
      <x:c r="L95" s="103" t="str">
        <x:v>MVP Core</x:v>
      </x:c>
      <x:c r="M95" s="103" t="str">
        <x:f>IF(B95&lt;='Unlock Map'!$B$11,"Enabled","Locked")</x:f>
        <x:v>Enabled</x:v>
      </x:c>
    </x:row>
    <x:row r="96" ht="54" customHeight="1">
      <x:c r="A96" s="107" t="str">
        <x:v>S2-D7-E1</x:v>
      </x:c>
      <x:c r="B96" s="107" t="n">
        <x:v>2</x:v>
      </x:c>
      <x:c r="C96" s="107" t="str">
        <x:v>Living</x:v>
      </x:c>
      <x:c r="D96" s="107" t="n">
        <x:v>7</x:v>
      </x:c>
      <x:c r="E96" s="107" t="str">
        <x:v>Safety, Legal &amp; Governance</x:v>
      </x:c>
      <x:c r="F96" s="107" t="n">
        <x:v>1</x:v>
      </x:c>
      <x:c r="G96" s="107" t="str">
        <x:v>Records</x:v>
      </x:c>
      <x:c r="H96" s="103" t="str">
        <x:v>Insurance, Tax &amp; Administration — Keep routine obligations, coverage, renewals, and records under control.</x:v>
      </x:c>
      <x:c r="I96" s="103" t="str">
        <x:v>Insurance, Tax &amp; Administration Register</x:v>
      </x:c>
      <x:c r="J96" s="103" t="str">
        <x:v>Capture and maintain insurance; tax; licences; contracts; renewals; backups; passwords; document archive.</x:v>
      </x:c>
      <x:c r="K96" s="103" t="str">
        <x:v>insurance; tax; licences; contracts; renewals; backups; passwords; document archive</x:v>
      </x:c>
      <x:c r="L96" s="103" t="str">
        <x:v>MVP Core</x:v>
      </x:c>
      <x:c r="M96" s="103" t="str">
        <x:f>IF(B96&lt;='Unlock Map'!$B$11,"Enabled","Locked")</x:f>
        <x:v>Enabled</x:v>
      </x:c>
    </x:row>
    <x:row r="97" ht="54" customHeight="1">
      <x:c r="A97" s="107" t="str">
        <x:v>S2-D7-E2</x:v>
      </x:c>
      <x:c r="B97" s="107" t="n">
        <x:v>2</x:v>
      </x:c>
      <x:c r="C97" s="107" t="str">
        <x:v>Living</x:v>
      </x:c>
      <x:c r="D97" s="107" t="n">
        <x:v>7</x:v>
      </x:c>
      <x:c r="E97" s="107" t="str">
        <x:v>Safety, Legal &amp; Governance</x:v>
      </x:c>
      <x:c r="F97" s="107" t="n">
        <x:v>2</x:v>
      </x:c>
      <x:c r="G97" s="107" t="str">
        <x:v>Plans</x:v>
      </x:c>
      <x:c r="H97" s="103" t="str">
        <x:v>Insurance, Tax &amp; Administration — Keep routine obligations, coverage, renewals, and records under control.</x:v>
      </x:c>
      <x:c r="I97" s="103" t="str">
        <x:v>Insurance, Tax &amp; Administration Plan</x:v>
      </x:c>
      <x:c r="J97" s="103" t="str">
        <x:v>Set goals, budgets, schedules, thresholds, scenarios, and priorities for insurance, tax &amp; administration.</x:v>
      </x:c>
      <x:c r="K97" s="103" t="str">
        <x:v>insurance; tax; licences; contracts; renewals; backups; passwords; document archive</x:v>
      </x:c>
      <x:c r="L97" s="103" t="str">
        <x:v>MVP Core</x:v>
      </x:c>
      <x:c r="M97" s="103" t="str">
        <x:f>IF(B97&lt;='Unlock Map'!$B$11,"Enabled","Locked")</x:f>
        <x:v>Enabled</x:v>
      </x:c>
    </x:row>
    <x:row r="98" ht="54" customHeight="1">
      <x:c r="A98" s="107" t="str">
        <x:v>S2-D7-E3</x:v>
      </x:c>
      <x:c r="B98" s="107" t="n">
        <x:v>2</x:v>
      </x:c>
      <x:c r="C98" s="107" t="str">
        <x:v>Living</x:v>
      </x:c>
      <x:c r="D98" s="107" t="n">
        <x:v>7</x:v>
      </x:c>
      <x:c r="E98" s="107" t="str">
        <x:v>Safety, Legal &amp; Governance</x:v>
      </x:c>
      <x:c r="F98" s="107" t="n">
        <x:v>3</x:v>
      </x:c>
      <x:c r="G98" s="107" t="str">
        <x:v>Actions</x:v>
      </x:c>
      <x:c r="H98" s="103" t="str">
        <x:v>Insurance, Tax &amp; Administration — Keep routine obligations, coverage, renewals, and records under control.</x:v>
      </x:c>
      <x:c r="I98" s="103" t="str">
        <x:v>Insurance, Tax &amp; Administration Actions</x:v>
      </x:c>
      <x:c r="J98" s="103" t="str">
        <x:v>Turn the insurance, tax &amp; administration plan into owned tasks, routines, transactions, projects, and follow-ups.</x:v>
      </x:c>
      <x:c r="K98" s="103" t="str">
        <x:v>insurance; tax; licences; contracts; renewals; backups; passwords; document archive</x:v>
      </x:c>
      <x:c r="L98" s="103" t="str">
        <x:v>MVP Core</x:v>
      </x:c>
      <x:c r="M98" s="103" t="str">
        <x:f>IF(B98&lt;='Unlock Map'!$B$11,"Enabled","Locked")</x:f>
        <x:v>Enabled</x:v>
      </x:c>
    </x:row>
    <x:row r="99" ht="54" customHeight="1">
      <x:c r="A99" s="107" t="str">
        <x:v>S2-D7-E4</x:v>
      </x:c>
      <x:c r="B99" s="107" t="n">
        <x:v>2</x:v>
      </x:c>
      <x:c r="C99" s="107" t="str">
        <x:v>Living</x:v>
      </x:c>
      <x:c r="D99" s="107" t="n">
        <x:v>7</x:v>
      </x:c>
      <x:c r="E99" s="107" t="str">
        <x:v>Safety, Legal &amp; Governance</x:v>
      </x:c>
      <x:c r="F99" s="107" t="n">
        <x:v>4</x:v>
      </x:c>
      <x:c r="G99" s="107" t="str">
        <x:v>Collaboration</x:v>
      </x:c>
      <x:c r="H99" s="103" t="str">
        <x:v>Insurance, Tax &amp; Administration — Keep routine obligations, coverage, renewals, and records under control.</x:v>
      </x:c>
      <x:c r="I99" s="103" t="str">
        <x:v>Insurance, Tax &amp; Administration Coordination</x:v>
      </x:c>
      <x:c r="J99" s="103" t="str">
        <x:v>Share roles, messages, approvals, handoffs, and appropriate external access for insurance, tax &amp; administration.</x:v>
      </x:c>
      <x:c r="K99" s="103" t="str">
        <x:v>insurance; tax; licences; contracts; renewals; backups; passwords; document archive</x:v>
      </x:c>
      <x:c r="L99" s="103" t="str">
        <x:v>MVP Core</x:v>
      </x:c>
      <x:c r="M99" s="103" t="str">
        <x:f>IF(B99&lt;='Unlock Map'!$B$11,"Enabled","Locked")</x:f>
        <x:v>Enabled</x:v>
      </x:c>
    </x:row>
    <x:row r="100" ht="54" customHeight="1">
      <x:c r="A100" s="107" t="str">
        <x:v>S2-D7-E5</x:v>
      </x:c>
      <x:c r="B100" s="107" t="n">
        <x:v>2</x:v>
      </x:c>
      <x:c r="C100" s="107" t="str">
        <x:v>Living</x:v>
      </x:c>
      <x:c r="D100" s="107" t="n">
        <x:v>7</x:v>
      </x:c>
      <x:c r="E100" s="107" t="str">
        <x:v>Safety, Legal &amp; Governance</x:v>
      </x:c>
      <x:c r="F100" s="107" t="n">
        <x:v>5</x:v>
      </x:c>
      <x:c r="G100" s="107" t="str">
        <x:v>Safeguards</x:v>
      </x:c>
      <x:c r="H100" s="103" t="str">
        <x:v>Insurance, Tax &amp; Administration — Keep routine obligations, coverage, renewals, and records under control.</x:v>
      </x:c>
      <x:c r="I100" s="103" t="str">
        <x:v>Insurance, Tax &amp; Administration Controls</x:v>
      </x:c>
      <x:c r="J100" s="103" t="str">
        <x:v>Apply permissions, limits, alerts, evidence, contingency rules, and exception handling to insurance, tax &amp; administration.</x:v>
      </x:c>
      <x:c r="K100" s="103" t="str">
        <x:v>insurance; tax; licences; contracts; renewals; backups; passwords; document archive</x:v>
      </x:c>
      <x:c r="L100" s="103" t="str">
        <x:v>MVP Core</x:v>
      </x:c>
      <x:c r="M100" s="103" t="str">
        <x:f>IF(B100&lt;='Unlock Map'!$B$11,"Enabled","Locked")</x:f>
        <x:v>Enabled</x:v>
      </x:c>
    </x:row>
    <x:row r="101" ht="54" customHeight="1">
      <x:c r="A101" s="107" t="str">
        <x:v>S2-D7-E6</x:v>
      </x:c>
      <x:c r="B101" s="107" t="n">
        <x:v>2</x:v>
      </x:c>
      <x:c r="C101" s="107" t="str">
        <x:v>Living</x:v>
      </x:c>
      <x:c r="D101" s="107" t="n">
        <x:v>7</x:v>
      </x:c>
      <x:c r="E101" s="107" t="str">
        <x:v>Safety, Legal &amp; Governance</x:v>
      </x:c>
      <x:c r="F101" s="107" t="n">
        <x:v>6</x:v>
      </x:c>
      <x:c r="G101" s="107" t="str">
        <x:v>Insights</x:v>
      </x:c>
      <x:c r="H101" s="103" t="str">
        <x:v>Insurance, Tax &amp; Administration — Keep routine obligations, coverage, renewals, and records under control.</x:v>
      </x:c>
      <x:c r="I101" s="103" t="str">
        <x:v>Insurance, Tax &amp; Administration Review</x:v>
      </x:c>
      <x:c r="J101" s="103" t="str">
        <x:v>Show status, trends, gaps, risks, outcomes, and next decisions for insurance, tax &amp; administration.</x:v>
      </x:c>
      <x:c r="K101" s="103" t="str">
        <x:v>insurance; tax; licences; contracts; renewals; backups; passwords; document archive</x:v>
      </x:c>
      <x:c r="L101" s="103" t="str">
        <x:v>MVP Core</x:v>
      </x:c>
      <x:c r="M101" s="103" t="str">
        <x:f>IF(B101&lt;='Unlock Map'!$B$11,"Enabled","Locked")</x:f>
        <x:v>Enabled</x:v>
      </x:c>
    </x:row>
    <x:row r="102" ht="54" customHeight="1">
      <x:c r="A102" s="107" t="str">
        <x:v>S2-D7-E7</x:v>
      </x:c>
      <x:c r="B102" s="107" t="n">
        <x:v>2</x:v>
      </x:c>
      <x:c r="C102" s="107" t="str">
        <x:v>Living</x:v>
      </x:c>
      <x:c r="D102" s="107" t="n">
        <x:v>7</x:v>
      </x:c>
      <x:c r="E102" s="107" t="str">
        <x:v>Safety, Legal &amp; Governance</x:v>
      </x:c>
      <x:c r="F102" s="107" t="n">
        <x:v>7</x:v>
      </x:c>
      <x:c r="G102" s="107" t="str">
        <x:v>Automation</x:v>
      </x:c>
      <x:c r="H102" s="103" t="str">
        <x:v>Insurance, Tax &amp; Administration — Keep routine obligations, coverage, renewals, and records under control.</x:v>
      </x:c>
      <x:c r="I102" s="103" t="str">
        <x:v>Insurance, Tax &amp; Administration Automation</x:v>
      </x:c>
      <x:c r="J102" s="103" t="str">
        <x:v>Use recurring rules, integrations, recommendations, and predictive reminders for insurance, tax &amp; administration.</x:v>
      </x:c>
      <x:c r="K102" s="103" t="str">
        <x:v>insurance; tax; licences; contracts; renewals; backups; passwords; document archive</x:v>
      </x:c>
      <x:c r="L102" s="103" t="str">
        <x:v>MVP Core</x:v>
      </x:c>
      <x:c r="M102" s="103" t="str">
        <x:f>IF(B102&lt;='Unlock Map'!$B$11,"Enabled","Locked")</x:f>
        <x:v>Enabled</x:v>
      </x:c>
    </x:row>
    <x:row r="103" ht="54" customHeight="1">
      <x:c r="A103" s="104" t="str">
        <x:v>S3-D1-E1</x:v>
      </x:c>
      <x:c r="B103" s="104" t="n">
        <x:v>3</x:v>
      </x:c>
      <x:c r="C103" s="104" t="str">
        <x:v>Thinking</x:v>
      </x:c>
      <x:c r="D103" s="104" t="n">
        <x:v>1</x:v>
      </x:c>
      <x:c r="E103" s="104" t="str">
        <x:v>Finance, Work &amp; Wealth</x:v>
      </x:c>
      <x:c r="F103" s="104" t="n">
        <x:v>1</x:v>
      </x:c>
      <x:c r="G103" s="104" t="str">
        <x:v>Records</x:v>
      </x:c>
      <x:c r="H103" s="100" t="str">
        <x:v>Financial Goals &amp; Career Choices — Use household data to make deliberate work, income, savings, and life decisions.</x:v>
      </x:c>
      <x:c r="I103" s="100" t="str">
        <x:v>Financial Goals &amp; Career Choices Register</x:v>
      </x:c>
      <x:c r="J103" s="100" t="str">
        <x:v>Capture and maintain career paths; income scenarios; financial goals; trade-offs; opportunity cost; reserves; milestones.</x:v>
      </x:c>
      <x:c r="K103" s="100" t="str">
        <x:v>career paths; income scenarios; financial goals; trade-offs; opportunity cost; reserves; milestones</x:v>
      </x:c>
      <x:c r="L103" s="100" t="str">
        <x:v>Growth Pack</x:v>
      </x:c>
      <x:c r="M103" s="100" t="str">
        <x:f>IF(B103&lt;='Unlock Map'!$B$11,"Enabled","Locked")</x:f>
        <x:v>Locked</x:v>
      </x:c>
    </x:row>
    <x:row r="104" ht="54" customHeight="1">
      <x:c r="A104" s="105" t="str">
        <x:v>S3-D1-E2</x:v>
      </x:c>
      <x:c r="B104" s="105" t="n">
        <x:v>3</x:v>
      </x:c>
      <x:c r="C104" s="105" t="str">
        <x:v>Thinking</x:v>
      </x:c>
      <x:c r="D104" s="105" t="n">
        <x:v>1</x:v>
      </x:c>
      <x:c r="E104" s="105" t="str">
        <x:v>Finance, Work &amp; Wealth</x:v>
      </x:c>
      <x:c r="F104" s="105" t="n">
        <x:v>2</x:v>
      </x:c>
      <x:c r="G104" s="105" t="str">
        <x:v>Plans</x:v>
      </x:c>
      <x:c r="H104" s="101" t="str">
        <x:v>Financial Goals &amp; Career Choices — Use household data to make deliberate work, income, savings, and life decisions.</x:v>
      </x:c>
      <x:c r="I104" s="101" t="str">
        <x:v>Financial Goals &amp; Career Choices Plan</x:v>
      </x:c>
      <x:c r="J104" s="101" t="str">
        <x:v>Set goals, budgets, schedules, thresholds, scenarios, and priorities for financial goals &amp; career choices.</x:v>
      </x:c>
      <x:c r="K104" s="101" t="str">
        <x:v>career paths; income scenarios; financial goals; trade-offs; opportunity cost; reserves; milestones</x:v>
      </x:c>
      <x:c r="L104" s="101" t="str">
        <x:v>Growth Pack</x:v>
      </x:c>
      <x:c r="M104" s="101" t="str">
        <x:f>IF(B104&lt;='Unlock Map'!$B$11,"Enabled","Locked")</x:f>
        <x:v>Locked</x:v>
      </x:c>
    </x:row>
    <x:row r="105" ht="54" customHeight="1">
      <x:c r="A105" s="105" t="str">
        <x:v>S3-D1-E3</x:v>
      </x:c>
      <x:c r="B105" s="105" t="n">
        <x:v>3</x:v>
      </x:c>
      <x:c r="C105" s="105" t="str">
        <x:v>Thinking</x:v>
      </x:c>
      <x:c r="D105" s="105" t="n">
        <x:v>1</x:v>
      </x:c>
      <x:c r="E105" s="105" t="str">
        <x:v>Finance, Work &amp; Wealth</x:v>
      </x:c>
      <x:c r="F105" s="105" t="n">
        <x:v>3</x:v>
      </x:c>
      <x:c r="G105" s="105" t="str">
        <x:v>Actions</x:v>
      </x:c>
      <x:c r="H105" s="101" t="str">
        <x:v>Financial Goals &amp; Career Choices — Use household data to make deliberate work, income, savings, and life decisions.</x:v>
      </x:c>
      <x:c r="I105" s="101" t="str">
        <x:v>Financial Goals &amp; Career Choices Actions</x:v>
      </x:c>
      <x:c r="J105" s="101" t="str">
        <x:v>Turn the financial goals &amp; career choices plan into owned tasks, routines, transactions, projects, and follow-ups.</x:v>
      </x:c>
      <x:c r="K105" s="101" t="str">
        <x:v>career paths; income scenarios; financial goals; trade-offs; opportunity cost; reserves; milestones</x:v>
      </x:c>
      <x:c r="L105" s="101" t="str">
        <x:v>Growth Pack</x:v>
      </x:c>
      <x:c r="M105" s="101" t="str">
        <x:f>IF(B105&lt;='Unlock Map'!$B$11,"Enabled","Locked")</x:f>
        <x:v>Locked</x:v>
      </x:c>
    </x:row>
    <x:row r="106" ht="54" customHeight="1">
      <x:c r="A106" s="105" t="str">
        <x:v>S3-D1-E4</x:v>
      </x:c>
      <x:c r="B106" s="105" t="n">
        <x:v>3</x:v>
      </x:c>
      <x:c r="C106" s="105" t="str">
        <x:v>Thinking</x:v>
      </x:c>
      <x:c r="D106" s="105" t="n">
        <x:v>1</x:v>
      </x:c>
      <x:c r="E106" s="105" t="str">
        <x:v>Finance, Work &amp; Wealth</x:v>
      </x:c>
      <x:c r="F106" s="105" t="n">
        <x:v>4</x:v>
      </x:c>
      <x:c r="G106" s="105" t="str">
        <x:v>Collaboration</x:v>
      </x:c>
      <x:c r="H106" s="101" t="str">
        <x:v>Financial Goals &amp; Career Choices — Use household data to make deliberate work, income, savings, and life decisions.</x:v>
      </x:c>
      <x:c r="I106" s="101" t="str">
        <x:v>Financial Goals &amp; Career Choices Coordination</x:v>
      </x:c>
      <x:c r="J106" s="101" t="str">
        <x:v>Share roles, messages, approvals, handoffs, and appropriate external access for financial goals &amp; career choices.</x:v>
      </x:c>
      <x:c r="K106" s="101" t="str">
        <x:v>career paths; income scenarios; financial goals; trade-offs; opportunity cost; reserves; milestones</x:v>
      </x:c>
      <x:c r="L106" s="101" t="str">
        <x:v>Growth Pack</x:v>
      </x:c>
      <x:c r="M106" s="101" t="str">
        <x:f>IF(B106&lt;='Unlock Map'!$B$11,"Enabled","Locked")</x:f>
        <x:v>Locked</x:v>
      </x:c>
    </x:row>
    <x:row r="107" ht="54" customHeight="1">
      <x:c r="A107" s="105" t="str">
        <x:v>S3-D1-E5</x:v>
      </x:c>
      <x:c r="B107" s="105" t="n">
        <x:v>3</x:v>
      </x:c>
      <x:c r="C107" s="105" t="str">
        <x:v>Thinking</x:v>
      </x:c>
      <x:c r="D107" s="105" t="n">
        <x:v>1</x:v>
      </x:c>
      <x:c r="E107" s="105" t="str">
        <x:v>Finance, Work &amp; Wealth</x:v>
      </x:c>
      <x:c r="F107" s="105" t="n">
        <x:v>5</x:v>
      </x:c>
      <x:c r="G107" s="105" t="str">
        <x:v>Safeguards</x:v>
      </x:c>
      <x:c r="H107" s="101" t="str">
        <x:v>Financial Goals &amp; Career Choices — Use household data to make deliberate work, income, savings, and life decisions.</x:v>
      </x:c>
      <x:c r="I107" s="101" t="str">
        <x:v>Financial Goals &amp; Career Choices Controls</x:v>
      </x:c>
      <x:c r="J107" s="101" t="str">
        <x:v>Apply permissions, limits, alerts, evidence, contingency rules, and exception handling to financial goals &amp; career choices.</x:v>
      </x:c>
      <x:c r="K107" s="101" t="str">
        <x:v>career paths; income scenarios; financial goals; trade-offs; opportunity cost; reserves; milestones</x:v>
      </x:c>
      <x:c r="L107" s="101" t="str">
        <x:v>Growth Pack</x:v>
      </x:c>
      <x:c r="M107" s="101" t="str">
        <x:f>IF(B107&lt;='Unlock Map'!$B$11,"Enabled","Locked")</x:f>
        <x:v>Locked</x:v>
      </x:c>
    </x:row>
    <x:row r="108" ht="54" customHeight="1">
      <x:c r="A108" s="105" t="str">
        <x:v>S3-D1-E6</x:v>
      </x:c>
      <x:c r="B108" s="105" t="n">
        <x:v>3</x:v>
      </x:c>
      <x:c r="C108" s="105" t="str">
        <x:v>Thinking</x:v>
      </x:c>
      <x:c r="D108" s="105" t="n">
        <x:v>1</x:v>
      </x:c>
      <x:c r="E108" s="105" t="str">
        <x:v>Finance, Work &amp; Wealth</x:v>
      </x:c>
      <x:c r="F108" s="105" t="n">
        <x:v>6</x:v>
      </x:c>
      <x:c r="G108" s="105" t="str">
        <x:v>Insights</x:v>
      </x:c>
      <x:c r="H108" s="101" t="str">
        <x:v>Financial Goals &amp; Career Choices — Use household data to make deliberate work, income, savings, and life decisions.</x:v>
      </x:c>
      <x:c r="I108" s="101" t="str">
        <x:v>Financial Goals &amp; Career Choices Review</x:v>
      </x:c>
      <x:c r="J108" s="101" t="str">
        <x:v>Show status, trends, gaps, risks, outcomes, and next decisions for financial goals &amp; career choices.</x:v>
      </x:c>
      <x:c r="K108" s="101" t="str">
        <x:v>career paths; income scenarios; financial goals; trade-offs; opportunity cost; reserves; milestones</x:v>
      </x:c>
      <x:c r="L108" s="101" t="str">
        <x:v>Growth Pack</x:v>
      </x:c>
      <x:c r="M108" s="101" t="str">
        <x:f>IF(B108&lt;='Unlock Map'!$B$11,"Enabled","Locked")</x:f>
        <x:v>Locked</x:v>
      </x:c>
    </x:row>
    <x:row r="109" ht="54" customHeight="1">
      <x:c r="A109" s="105" t="str">
        <x:v>S3-D1-E7</x:v>
      </x:c>
      <x:c r="B109" s="105" t="n">
        <x:v>3</x:v>
      </x:c>
      <x:c r="C109" s="105" t="str">
        <x:v>Thinking</x:v>
      </x:c>
      <x:c r="D109" s="105" t="n">
        <x:v>1</x:v>
      </x:c>
      <x:c r="E109" s="105" t="str">
        <x:v>Finance, Work &amp; Wealth</x:v>
      </x:c>
      <x:c r="F109" s="105" t="n">
        <x:v>7</x:v>
      </x:c>
      <x:c r="G109" s="105" t="str">
        <x:v>Automation</x:v>
      </x:c>
      <x:c r="H109" s="101" t="str">
        <x:v>Financial Goals &amp; Career Choices — Use household data to make deliberate work, income, savings, and life decisions.</x:v>
      </x:c>
      <x:c r="I109" s="101" t="str">
        <x:v>Financial Goals &amp; Career Choices Automation</x:v>
      </x:c>
      <x:c r="J109" s="101" t="str">
        <x:v>Use recurring rules, integrations, recommendations, and predictive reminders for financial goals &amp; career choices.</x:v>
      </x:c>
      <x:c r="K109" s="101" t="str">
        <x:v>career paths; income scenarios; financial goals; trade-offs; opportunity cost; reserves; milestones</x:v>
      </x:c>
      <x:c r="L109" s="101" t="str">
        <x:v>Growth Pack</x:v>
      </x:c>
      <x:c r="M109" s="101" t="str">
        <x:f>IF(B109&lt;='Unlock Map'!$B$11,"Enabled","Locked")</x:f>
        <x:v>Locked</x:v>
      </x:c>
    </x:row>
    <x:row r="110" ht="54" customHeight="1">
      <x:c r="A110" s="105" t="str">
        <x:v>S3-D2-E1</x:v>
      </x:c>
      <x:c r="B110" s="105" t="n">
        <x:v>3</x:v>
      </x:c>
      <x:c r="C110" s="105" t="str">
        <x:v>Thinking</x:v>
      </x:c>
      <x:c r="D110" s="105" t="n">
        <x:v>2</x:v>
      </x:c>
      <x:c r="E110" s="105" t="str">
        <x:v>Health &amp; Care</x:v>
      </x:c>
      <x:c r="F110" s="105" t="n">
        <x:v>1</x:v>
      </x:c>
      <x:c r="G110" s="105" t="str">
        <x:v>Records</x:v>
      </x:c>
      <x:c r="H110" s="101" t="str">
        <x:v>Personalized Wellbeing — Understand the different physical, mental, sensory, and developmental needs of each member.</x:v>
      </x:c>
      <x:c r="I110" s="101" t="str">
        <x:v>Personalized Wellbeing Register</x:v>
      </x:c>
      <x:c r="J110" s="101" t="str">
        <x:v>Capture and maintain health patterns; mood; sleep; nutrition; preferences; accessibility; personalized care plans.</x:v>
      </x:c>
      <x:c r="K110" s="101" t="str">
        <x:v>health patterns; mood; sleep; nutrition; preferences; accessibility; personalized care plans</x:v>
      </x:c>
      <x:c r="L110" s="101" t="str">
        <x:v>Growth Pack</x:v>
      </x:c>
      <x:c r="M110" s="101" t="str">
        <x:f>IF(B110&lt;='Unlock Map'!$B$11,"Enabled","Locked")</x:f>
        <x:v>Locked</x:v>
      </x:c>
    </x:row>
    <x:row r="111" ht="54" customHeight="1">
      <x:c r="A111" s="105" t="str">
        <x:v>S3-D2-E2</x:v>
      </x:c>
      <x:c r="B111" s="105" t="n">
        <x:v>3</x:v>
      </x:c>
      <x:c r="C111" s="105" t="str">
        <x:v>Thinking</x:v>
      </x:c>
      <x:c r="D111" s="105" t="n">
        <x:v>2</x:v>
      </x:c>
      <x:c r="E111" s="105" t="str">
        <x:v>Health &amp; Care</x:v>
      </x:c>
      <x:c r="F111" s="105" t="n">
        <x:v>2</x:v>
      </x:c>
      <x:c r="G111" s="105" t="str">
        <x:v>Plans</x:v>
      </x:c>
      <x:c r="H111" s="101" t="str">
        <x:v>Personalized Wellbeing — Understand the different physical, mental, sensory, and developmental needs of each member.</x:v>
      </x:c>
      <x:c r="I111" s="101" t="str">
        <x:v>Personalized Wellbeing Plan</x:v>
      </x:c>
      <x:c r="J111" s="101" t="str">
        <x:v>Set goals, budgets, schedules, thresholds, scenarios, and priorities for personalized wellbeing.</x:v>
      </x:c>
      <x:c r="K111" s="101" t="str">
        <x:v>health patterns; mood; sleep; nutrition; preferences; accessibility; personalized care plans</x:v>
      </x:c>
      <x:c r="L111" s="101" t="str">
        <x:v>Growth Pack</x:v>
      </x:c>
      <x:c r="M111" s="101" t="str">
        <x:f>IF(B111&lt;='Unlock Map'!$B$11,"Enabled","Locked")</x:f>
        <x:v>Locked</x:v>
      </x:c>
    </x:row>
    <x:row r="112" ht="54" customHeight="1">
      <x:c r="A112" s="105" t="str">
        <x:v>S3-D2-E3</x:v>
      </x:c>
      <x:c r="B112" s="105" t="n">
        <x:v>3</x:v>
      </x:c>
      <x:c r="C112" s="105" t="str">
        <x:v>Thinking</x:v>
      </x:c>
      <x:c r="D112" s="105" t="n">
        <x:v>2</x:v>
      </x:c>
      <x:c r="E112" s="105" t="str">
        <x:v>Health &amp; Care</x:v>
      </x:c>
      <x:c r="F112" s="105" t="n">
        <x:v>3</x:v>
      </x:c>
      <x:c r="G112" s="105" t="str">
        <x:v>Actions</x:v>
      </x:c>
      <x:c r="H112" s="101" t="str">
        <x:v>Personalized Wellbeing — Understand the different physical, mental, sensory, and developmental needs of each member.</x:v>
      </x:c>
      <x:c r="I112" s="101" t="str">
        <x:v>Personalized Wellbeing Actions</x:v>
      </x:c>
      <x:c r="J112" s="101" t="str">
        <x:v>Turn the personalized wellbeing plan into owned tasks, routines, transactions, projects, and follow-ups.</x:v>
      </x:c>
      <x:c r="K112" s="101" t="str">
        <x:v>health patterns; mood; sleep; nutrition; preferences; accessibility; personalized care plans</x:v>
      </x:c>
      <x:c r="L112" s="101" t="str">
        <x:v>Growth Pack</x:v>
      </x:c>
      <x:c r="M112" s="101" t="str">
        <x:f>IF(B112&lt;='Unlock Map'!$B$11,"Enabled","Locked")</x:f>
        <x:v>Locked</x:v>
      </x:c>
    </x:row>
    <x:row r="113" ht="54" customHeight="1">
      <x:c r="A113" s="105" t="str">
        <x:v>S3-D2-E4</x:v>
      </x:c>
      <x:c r="B113" s="105" t="n">
        <x:v>3</x:v>
      </x:c>
      <x:c r="C113" s="105" t="str">
        <x:v>Thinking</x:v>
      </x:c>
      <x:c r="D113" s="105" t="n">
        <x:v>2</x:v>
      </x:c>
      <x:c r="E113" s="105" t="str">
        <x:v>Health &amp; Care</x:v>
      </x:c>
      <x:c r="F113" s="105" t="n">
        <x:v>4</x:v>
      </x:c>
      <x:c r="G113" s="105" t="str">
        <x:v>Collaboration</x:v>
      </x:c>
      <x:c r="H113" s="101" t="str">
        <x:v>Personalized Wellbeing — Understand the different physical, mental, sensory, and developmental needs of each member.</x:v>
      </x:c>
      <x:c r="I113" s="101" t="str">
        <x:v>Personalized Wellbeing Coordination</x:v>
      </x:c>
      <x:c r="J113" s="101" t="str">
        <x:v>Share roles, messages, approvals, handoffs, and appropriate external access for personalized wellbeing.</x:v>
      </x:c>
      <x:c r="K113" s="101" t="str">
        <x:v>health patterns; mood; sleep; nutrition; preferences; accessibility; personalized care plans</x:v>
      </x:c>
      <x:c r="L113" s="101" t="str">
        <x:v>Growth Pack</x:v>
      </x:c>
      <x:c r="M113" s="101" t="str">
        <x:f>IF(B113&lt;='Unlock Map'!$B$11,"Enabled","Locked")</x:f>
        <x:v>Locked</x:v>
      </x:c>
    </x:row>
    <x:row r="114" ht="54" customHeight="1">
      <x:c r="A114" s="105" t="str">
        <x:v>S3-D2-E5</x:v>
      </x:c>
      <x:c r="B114" s="105" t="n">
        <x:v>3</x:v>
      </x:c>
      <x:c r="C114" s="105" t="str">
        <x:v>Thinking</x:v>
      </x:c>
      <x:c r="D114" s="105" t="n">
        <x:v>2</x:v>
      </x:c>
      <x:c r="E114" s="105" t="str">
        <x:v>Health &amp; Care</x:v>
      </x:c>
      <x:c r="F114" s="105" t="n">
        <x:v>5</x:v>
      </x:c>
      <x:c r="G114" s="105" t="str">
        <x:v>Safeguards</x:v>
      </x:c>
      <x:c r="H114" s="101" t="str">
        <x:v>Personalized Wellbeing — Understand the different physical, mental, sensory, and developmental needs of each member.</x:v>
      </x:c>
      <x:c r="I114" s="101" t="str">
        <x:v>Personalized Wellbeing Controls</x:v>
      </x:c>
      <x:c r="J114" s="101" t="str">
        <x:v>Apply permissions, limits, alerts, evidence, contingency rules, and exception handling to personalized wellbeing.</x:v>
      </x:c>
      <x:c r="K114" s="101" t="str">
        <x:v>health patterns; mood; sleep; nutrition; preferences; accessibility; personalized care plans</x:v>
      </x:c>
      <x:c r="L114" s="101" t="str">
        <x:v>Growth Pack</x:v>
      </x:c>
      <x:c r="M114" s="101" t="str">
        <x:f>IF(B114&lt;='Unlock Map'!$B$11,"Enabled","Locked")</x:f>
        <x:v>Locked</x:v>
      </x:c>
    </x:row>
    <x:row r="115" ht="54" customHeight="1">
      <x:c r="A115" s="105" t="str">
        <x:v>S3-D2-E6</x:v>
      </x:c>
      <x:c r="B115" s="105" t="n">
        <x:v>3</x:v>
      </x:c>
      <x:c r="C115" s="105" t="str">
        <x:v>Thinking</x:v>
      </x:c>
      <x:c r="D115" s="105" t="n">
        <x:v>2</x:v>
      </x:c>
      <x:c r="E115" s="105" t="str">
        <x:v>Health &amp; Care</x:v>
      </x:c>
      <x:c r="F115" s="105" t="n">
        <x:v>6</x:v>
      </x:c>
      <x:c r="G115" s="105" t="str">
        <x:v>Insights</x:v>
      </x:c>
      <x:c r="H115" s="101" t="str">
        <x:v>Personalized Wellbeing — Understand the different physical, mental, sensory, and developmental needs of each member.</x:v>
      </x:c>
      <x:c r="I115" s="101" t="str">
        <x:v>Personalized Wellbeing Review</x:v>
      </x:c>
      <x:c r="J115" s="101" t="str">
        <x:v>Show status, trends, gaps, risks, outcomes, and next decisions for personalized wellbeing.</x:v>
      </x:c>
      <x:c r="K115" s="101" t="str">
        <x:v>health patterns; mood; sleep; nutrition; preferences; accessibility; personalized care plans</x:v>
      </x:c>
      <x:c r="L115" s="101" t="str">
        <x:v>Growth Pack</x:v>
      </x:c>
      <x:c r="M115" s="101" t="str">
        <x:f>IF(B115&lt;='Unlock Map'!$B$11,"Enabled","Locked")</x:f>
        <x:v>Locked</x:v>
      </x:c>
    </x:row>
    <x:row r="116" ht="54" customHeight="1">
      <x:c r="A116" s="105" t="str">
        <x:v>S3-D2-E7</x:v>
      </x:c>
      <x:c r="B116" s="105" t="n">
        <x:v>3</x:v>
      </x:c>
      <x:c r="C116" s="105" t="str">
        <x:v>Thinking</x:v>
      </x:c>
      <x:c r="D116" s="105" t="n">
        <x:v>2</x:v>
      </x:c>
      <x:c r="E116" s="105" t="str">
        <x:v>Health &amp; Care</x:v>
      </x:c>
      <x:c r="F116" s="105" t="n">
        <x:v>7</x:v>
      </x:c>
      <x:c r="G116" s="105" t="str">
        <x:v>Automation</x:v>
      </x:c>
      <x:c r="H116" s="101" t="str">
        <x:v>Personalized Wellbeing — Understand the different physical, mental, sensory, and developmental needs of each member.</x:v>
      </x:c>
      <x:c r="I116" s="101" t="str">
        <x:v>Personalized Wellbeing Automation</x:v>
      </x:c>
      <x:c r="J116" s="101" t="str">
        <x:v>Use recurring rules, integrations, recommendations, and predictive reminders for personalized wellbeing.</x:v>
      </x:c>
      <x:c r="K116" s="101" t="str">
        <x:v>health patterns; mood; sleep; nutrition; preferences; accessibility; personalized care plans</x:v>
      </x:c>
      <x:c r="L116" s="101" t="str">
        <x:v>Growth Pack</x:v>
      </x:c>
      <x:c r="M116" s="101" t="str">
        <x:f>IF(B116&lt;='Unlock Map'!$B$11,"Enabled","Locked")</x:f>
        <x:v>Locked</x:v>
      </x:c>
    </x:row>
    <x:row r="117" ht="54" customHeight="1">
      <x:c r="A117" s="105" t="str">
        <x:v>S3-D3-E1</x:v>
      </x:c>
      <x:c r="B117" s="105" t="n">
        <x:v>3</x:v>
      </x:c>
      <x:c r="C117" s="105" t="str">
        <x:v>Thinking</x:v>
      </x:c>
      <x:c r="D117" s="105" t="n">
        <x:v>3</x:v>
      </x:c>
      <x:c r="E117" s="105" t="str">
        <x:v>Education, Skills &amp; Knowledge</x:v>
      </x:c>
      <x:c r="F117" s="105" t="n">
        <x:v>1</x:v>
      </x:c>
      <x:c r="G117" s="105" t="str">
        <x:v>Records</x:v>
      </x:c>
      <x:c r="H117" s="101" t="str">
        <x:v>Child-Led Learning &amp; Talents — Observe curiosity, strengths, pace, and interests, then support natural development.</x:v>
      </x:c>
      <x:c r="I117" s="101" t="str">
        <x:v>Child-Led Learning &amp; Talents Register</x:v>
      </x:c>
      <x:c r="J117" s="101" t="str">
        <x:v>Capture and maintain interests; strengths; projects; mentors; learning styles; portfolios; self-chosen goals.</x:v>
      </x:c>
      <x:c r="K117" s="101" t="str">
        <x:v>interests; strengths; projects; mentors; learning styles; portfolios; self-chosen goals</x:v>
      </x:c>
      <x:c r="L117" s="101" t="str">
        <x:v>Growth Pack</x:v>
      </x:c>
      <x:c r="M117" s="101" t="str">
        <x:f>IF(B117&lt;='Unlock Map'!$B$11,"Enabled","Locked")</x:f>
        <x:v>Locked</x:v>
      </x:c>
    </x:row>
    <x:row r="118" ht="54" customHeight="1">
      <x:c r="A118" s="105" t="str">
        <x:v>S3-D3-E2</x:v>
      </x:c>
      <x:c r="B118" s="105" t="n">
        <x:v>3</x:v>
      </x:c>
      <x:c r="C118" s="105" t="str">
        <x:v>Thinking</x:v>
      </x:c>
      <x:c r="D118" s="105" t="n">
        <x:v>3</x:v>
      </x:c>
      <x:c r="E118" s="105" t="str">
        <x:v>Education, Skills &amp; Knowledge</x:v>
      </x:c>
      <x:c r="F118" s="105" t="n">
        <x:v>2</x:v>
      </x:c>
      <x:c r="G118" s="105" t="str">
        <x:v>Plans</x:v>
      </x:c>
      <x:c r="H118" s="101" t="str">
        <x:v>Child-Led Learning &amp; Talents — Observe curiosity, strengths, pace, and interests, then support natural development.</x:v>
      </x:c>
      <x:c r="I118" s="101" t="str">
        <x:v>Child-Led Learning &amp; Talents Plan</x:v>
      </x:c>
      <x:c r="J118" s="101" t="str">
        <x:v>Set goals, budgets, schedules, thresholds, scenarios, and priorities for child-led learning &amp; talents.</x:v>
      </x:c>
      <x:c r="K118" s="101" t="str">
        <x:v>interests; strengths; projects; mentors; learning styles; portfolios; self-chosen goals</x:v>
      </x:c>
      <x:c r="L118" s="101" t="str">
        <x:v>Growth Pack</x:v>
      </x:c>
      <x:c r="M118" s="101" t="str">
        <x:f>IF(B118&lt;='Unlock Map'!$B$11,"Enabled","Locked")</x:f>
        <x:v>Locked</x:v>
      </x:c>
    </x:row>
    <x:row r="119" ht="54" customHeight="1">
      <x:c r="A119" s="105" t="str">
        <x:v>S3-D3-E3</x:v>
      </x:c>
      <x:c r="B119" s="105" t="n">
        <x:v>3</x:v>
      </x:c>
      <x:c r="C119" s="105" t="str">
        <x:v>Thinking</x:v>
      </x:c>
      <x:c r="D119" s="105" t="n">
        <x:v>3</x:v>
      </x:c>
      <x:c r="E119" s="105" t="str">
        <x:v>Education, Skills &amp; Knowledge</x:v>
      </x:c>
      <x:c r="F119" s="105" t="n">
        <x:v>3</x:v>
      </x:c>
      <x:c r="G119" s="105" t="str">
        <x:v>Actions</x:v>
      </x:c>
      <x:c r="H119" s="101" t="str">
        <x:v>Child-Led Learning &amp; Talents — Observe curiosity, strengths, pace, and interests, then support natural development.</x:v>
      </x:c>
      <x:c r="I119" s="101" t="str">
        <x:v>Child-Led Learning &amp; Talents Actions</x:v>
      </x:c>
      <x:c r="J119" s="101" t="str">
        <x:v>Turn the child-led learning &amp; talents plan into owned tasks, routines, transactions, projects, and follow-ups.</x:v>
      </x:c>
      <x:c r="K119" s="101" t="str">
        <x:v>interests; strengths; projects; mentors; learning styles; portfolios; self-chosen goals</x:v>
      </x:c>
      <x:c r="L119" s="101" t="str">
        <x:v>Growth Pack</x:v>
      </x:c>
      <x:c r="M119" s="101" t="str">
        <x:f>IF(B119&lt;='Unlock Map'!$B$11,"Enabled","Locked")</x:f>
        <x:v>Locked</x:v>
      </x:c>
    </x:row>
    <x:row r="120" ht="54" customHeight="1">
      <x:c r="A120" s="105" t="str">
        <x:v>S3-D3-E4</x:v>
      </x:c>
      <x:c r="B120" s="105" t="n">
        <x:v>3</x:v>
      </x:c>
      <x:c r="C120" s="105" t="str">
        <x:v>Thinking</x:v>
      </x:c>
      <x:c r="D120" s="105" t="n">
        <x:v>3</x:v>
      </x:c>
      <x:c r="E120" s="105" t="str">
        <x:v>Education, Skills &amp; Knowledge</x:v>
      </x:c>
      <x:c r="F120" s="105" t="n">
        <x:v>4</x:v>
      </x:c>
      <x:c r="G120" s="105" t="str">
        <x:v>Collaboration</x:v>
      </x:c>
      <x:c r="H120" s="101" t="str">
        <x:v>Child-Led Learning &amp; Talents — Observe curiosity, strengths, pace, and interests, then support natural development.</x:v>
      </x:c>
      <x:c r="I120" s="101" t="str">
        <x:v>Child-Led Learning &amp; Talents Coordination</x:v>
      </x:c>
      <x:c r="J120" s="101" t="str">
        <x:v>Share roles, messages, approvals, handoffs, and appropriate external access for child-led learning &amp; talents.</x:v>
      </x:c>
      <x:c r="K120" s="101" t="str">
        <x:v>interests; strengths; projects; mentors; learning styles; portfolios; self-chosen goals</x:v>
      </x:c>
      <x:c r="L120" s="101" t="str">
        <x:v>Growth Pack</x:v>
      </x:c>
      <x:c r="M120" s="101" t="str">
        <x:f>IF(B120&lt;='Unlock Map'!$B$11,"Enabled","Locked")</x:f>
        <x:v>Locked</x:v>
      </x:c>
    </x:row>
    <x:row r="121" ht="54" customHeight="1">
      <x:c r="A121" s="105" t="str">
        <x:v>S3-D3-E5</x:v>
      </x:c>
      <x:c r="B121" s="105" t="n">
        <x:v>3</x:v>
      </x:c>
      <x:c r="C121" s="105" t="str">
        <x:v>Thinking</x:v>
      </x:c>
      <x:c r="D121" s="105" t="n">
        <x:v>3</x:v>
      </x:c>
      <x:c r="E121" s="105" t="str">
        <x:v>Education, Skills &amp; Knowledge</x:v>
      </x:c>
      <x:c r="F121" s="105" t="n">
        <x:v>5</x:v>
      </x:c>
      <x:c r="G121" s="105" t="str">
        <x:v>Safeguards</x:v>
      </x:c>
      <x:c r="H121" s="101" t="str">
        <x:v>Child-Led Learning &amp; Talents — Observe curiosity, strengths, pace, and interests, then support natural development.</x:v>
      </x:c>
      <x:c r="I121" s="101" t="str">
        <x:v>Child-Led Learning &amp; Talents Controls</x:v>
      </x:c>
      <x:c r="J121" s="101" t="str">
        <x:v>Apply permissions, limits, alerts, evidence, contingency rules, and exception handling to child-led learning &amp; talents.</x:v>
      </x:c>
      <x:c r="K121" s="101" t="str">
        <x:v>interests; strengths; projects; mentors; learning styles; portfolios; self-chosen goals</x:v>
      </x:c>
      <x:c r="L121" s="101" t="str">
        <x:v>Growth Pack</x:v>
      </x:c>
      <x:c r="M121" s="101" t="str">
        <x:f>IF(B121&lt;='Unlock Map'!$B$11,"Enabled","Locked")</x:f>
        <x:v>Locked</x:v>
      </x:c>
    </x:row>
    <x:row r="122" ht="54" customHeight="1">
      <x:c r="A122" s="105" t="str">
        <x:v>S3-D3-E6</x:v>
      </x:c>
      <x:c r="B122" s="105" t="n">
        <x:v>3</x:v>
      </x:c>
      <x:c r="C122" s="105" t="str">
        <x:v>Thinking</x:v>
      </x:c>
      <x:c r="D122" s="105" t="n">
        <x:v>3</x:v>
      </x:c>
      <x:c r="E122" s="105" t="str">
        <x:v>Education, Skills &amp; Knowledge</x:v>
      </x:c>
      <x:c r="F122" s="105" t="n">
        <x:v>6</x:v>
      </x:c>
      <x:c r="G122" s="105" t="str">
        <x:v>Insights</x:v>
      </x:c>
      <x:c r="H122" s="101" t="str">
        <x:v>Child-Led Learning &amp; Talents — Observe curiosity, strengths, pace, and interests, then support natural development.</x:v>
      </x:c>
      <x:c r="I122" s="101" t="str">
        <x:v>Child-Led Learning &amp; Talents Review</x:v>
      </x:c>
      <x:c r="J122" s="101" t="str">
        <x:v>Show status, trends, gaps, risks, outcomes, and next decisions for child-led learning &amp; talents.</x:v>
      </x:c>
      <x:c r="K122" s="101" t="str">
        <x:v>interests; strengths; projects; mentors; learning styles; portfolios; self-chosen goals</x:v>
      </x:c>
      <x:c r="L122" s="101" t="str">
        <x:v>Growth Pack</x:v>
      </x:c>
      <x:c r="M122" s="101" t="str">
        <x:f>IF(B122&lt;='Unlock Map'!$B$11,"Enabled","Locked")</x:f>
        <x:v>Locked</x:v>
      </x:c>
    </x:row>
    <x:row r="123" ht="54" customHeight="1">
      <x:c r="A123" s="105" t="str">
        <x:v>S3-D3-E7</x:v>
      </x:c>
      <x:c r="B123" s="105" t="n">
        <x:v>3</x:v>
      </x:c>
      <x:c r="C123" s="105" t="str">
        <x:v>Thinking</x:v>
      </x:c>
      <x:c r="D123" s="105" t="n">
        <x:v>3</x:v>
      </x:c>
      <x:c r="E123" s="105" t="str">
        <x:v>Education, Skills &amp; Knowledge</x:v>
      </x:c>
      <x:c r="F123" s="105" t="n">
        <x:v>7</x:v>
      </x:c>
      <x:c r="G123" s="105" t="str">
        <x:v>Automation</x:v>
      </x:c>
      <x:c r="H123" s="101" t="str">
        <x:v>Child-Led Learning &amp; Talents — Observe curiosity, strengths, pace, and interests, then support natural development.</x:v>
      </x:c>
      <x:c r="I123" s="101" t="str">
        <x:v>Child-Led Learning &amp; Talents Automation</x:v>
      </x:c>
      <x:c r="J123" s="101" t="str">
        <x:v>Use recurring rules, integrations, recommendations, and predictive reminders for child-led learning &amp; talents.</x:v>
      </x:c>
      <x:c r="K123" s="101" t="str">
        <x:v>interests; strengths; projects; mentors; learning styles; portfolios; self-chosen goals</x:v>
      </x:c>
      <x:c r="L123" s="101" t="str">
        <x:v>Growth Pack</x:v>
      </x:c>
      <x:c r="M123" s="101" t="str">
        <x:f>IF(B123&lt;='Unlock Map'!$B$11,"Enabled","Locked")</x:f>
        <x:v>Locked</x:v>
      </x:c>
    </x:row>
    <x:row r="124" ht="54" customHeight="1">
      <x:c r="A124" s="105" t="str">
        <x:v>S3-D4-E1</x:v>
      </x:c>
      <x:c r="B124" s="105" t="n">
        <x:v>3</x:v>
      </x:c>
      <x:c r="C124" s="105" t="str">
        <x:v>Thinking</x:v>
      </x:c>
      <x:c r="D124" s="105" t="n">
        <x:v>4</x:v>
      </x:c>
      <x:c r="E124" s="105" t="str">
        <x:v>Home, Utilities &amp; Assets</x:v>
      </x:c>
      <x:c r="F124" s="105" t="n">
        <x:v>1</x:v>
      </x:c>
      <x:c r="G124" s="105" t="str">
        <x:v>Records</x:v>
      </x:c>
      <x:c r="H124" s="101" t="str">
        <x:v>Intentional Home Design — Shape spaces, assets, and technology around how the family actually learns and lives.</x:v>
      </x:c>
      <x:c r="I124" s="101" t="str">
        <x:v>Intentional Home Design Register</x:v>
      </x:c>
      <x:c r="J124" s="101" t="str">
        <x:v>Capture and maintain space use; accessibility; digital systems; energy use; storage design; project options; home goals.</x:v>
      </x:c>
      <x:c r="K124" s="101" t="str">
        <x:v>space use; accessibility; digital systems; energy use; storage design; project options; home goals</x:v>
      </x:c>
      <x:c r="L124" s="101" t="str">
        <x:v>Growth Pack</x:v>
      </x:c>
      <x:c r="M124" s="101" t="str">
        <x:f>IF(B124&lt;='Unlock Map'!$B$11,"Enabled","Locked")</x:f>
        <x:v>Locked</x:v>
      </x:c>
    </x:row>
    <x:row r="125" ht="54" customHeight="1">
      <x:c r="A125" s="105" t="str">
        <x:v>S3-D4-E2</x:v>
      </x:c>
      <x:c r="B125" s="105" t="n">
        <x:v>3</x:v>
      </x:c>
      <x:c r="C125" s="105" t="str">
        <x:v>Thinking</x:v>
      </x:c>
      <x:c r="D125" s="105" t="n">
        <x:v>4</x:v>
      </x:c>
      <x:c r="E125" s="105" t="str">
        <x:v>Home, Utilities &amp; Assets</x:v>
      </x:c>
      <x:c r="F125" s="105" t="n">
        <x:v>2</x:v>
      </x:c>
      <x:c r="G125" s="105" t="str">
        <x:v>Plans</x:v>
      </x:c>
      <x:c r="H125" s="101" t="str">
        <x:v>Intentional Home Design — Shape spaces, assets, and technology around how the family actually learns and lives.</x:v>
      </x:c>
      <x:c r="I125" s="101" t="str">
        <x:v>Intentional Home Design Plan</x:v>
      </x:c>
      <x:c r="J125" s="101" t="str">
        <x:v>Set goals, budgets, schedules, thresholds, scenarios, and priorities for intentional home design.</x:v>
      </x:c>
      <x:c r="K125" s="101" t="str">
        <x:v>space use; accessibility; digital systems; energy use; storage design; project options; home goals</x:v>
      </x:c>
      <x:c r="L125" s="101" t="str">
        <x:v>Growth Pack</x:v>
      </x:c>
      <x:c r="M125" s="101" t="str">
        <x:f>IF(B125&lt;='Unlock Map'!$B$11,"Enabled","Locked")</x:f>
        <x:v>Locked</x:v>
      </x:c>
    </x:row>
    <x:row r="126" ht="54" customHeight="1">
      <x:c r="A126" s="105" t="str">
        <x:v>S3-D4-E3</x:v>
      </x:c>
      <x:c r="B126" s="105" t="n">
        <x:v>3</x:v>
      </x:c>
      <x:c r="C126" s="105" t="str">
        <x:v>Thinking</x:v>
      </x:c>
      <x:c r="D126" s="105" t="n">
        <x:v>4</x:v>
      </x:c>
      <x:c r="E126" s="105" t="str">
        <x:v>Home, Utilities &amp; Assets</x:v>
      </x:c>
      <x:c r="F126" s="105" t="n">
        <x:v>3</x:v>
      </x:c>
      <x:c r="G126" s="105" t="str">
        <x:v>Actions</x:v>
      </x:c>
      <x:c r="H126" s="101" t="str">
        <x:v>Intentional Home Design — Shape spaces, assets, and technology around how the family actually learns and lives.</x:v>
      </x:c>
      <x:c r="I126" s="101" t="str">
        <x:v>Intentional Home Design Actions</x:v>
      </x:c>
      <x:c r="J126" s="101" t="str">
        <x:v>Turn the intentional home design plan into owned tasks, routines, transactions, projects, and follow-ups.</x:v>
      </x:c>
      <x:c r="K126" s="101" t="str">
        <x:v>space use; accessibility; digital systems; energy use; storage design; project options; home goals</x:v>
      </x:c>
      <x:c r="L126" s="101" t="str">
        <x:v>Growth Pack</x:v>
      </x:c>
      <x:c r="M126" s="101" t="str">
        <x:f>IF(B126&lt;='Unlock Map'!$B$11,"Enabled","Locked")</x:f>
        <x:v>Locked</x:v>
      </x:c>
    </x:row>
    <x:row r="127" ht="54" customHeight="1">
      <x:c r="A127" s="105" t="str">
        <x:v>S3-D4-E4</x:v>
      </x:c>
      <x:c r="B127" s="105" t="n">
        <x:v>3</x:v>
      </x:c>
      <x:c r="C127" s="105" t="str">
        <x:v>Thinking</x:v>
      </x:c>
      <x:c r="D127" s="105" t="n">
        <x:v>4</x:v>
      </x:c>
      <x:c r="E127" s="105" t="str">
        <x:v>Home, Utilities &amp; Assets</x:v>
      </x:c>
      <x:c r="F127" s="105" t="n">
        <x:v>4</x:v>
      </x:c>
      <x:c r="G127" s="105" t="str">
        <x:v>Collaboration</x:v>
      </x:c>
      <x:c r="H127" s="101" t="str">
        <x:v>Intentional Home Design — Shape spaces, assets, and technology around how the family actually learns and lives.</x:v>
      </x:c>
      <x:c r="I127" s="101" t="str">
        <x:v>Intentional Home Design Coordination</x:v>
      </x:c>
      <x:c r="J127" s="101" t="str">
        <x:v>Share roles, messages, approvals, handoffs, and appropriate external access for intentional home design.</x:v>
      </x:c>
      <x:c r="K127" s="101" t="str">
        <x:v>space use; accessibility; digital systems; energy use; storage design; project options; home goals</x:v>
      </x:c>
      <x:c r="L127" s="101" t="str">
        <x:v>Growth Pack</x:v>
      </x:c>
      <x:c r="M127" s="101" t="str">
        <x:f>IF(B127&lt;='Unlock Map'!$B$11,"Enabled","Locked")</x:f>
        <x:v>Locked</x:v>
      </x:c>
    </x:row>
    <x:row r="128" ht="54" customHeight="1">
      <x:c r="A128" s="105" t="str">
        <x:v>S3-D4-E5</x:v>
      </x:c>
      <x:c r="B128" s="105" t="n">
        <x:v>3</x:v>
      </x:c>
      <x:c r="C128" s="105" t="str">
        <x:v>Thinking</x:v>
      </x:c>
      <x:c r="D128" s="105" t="n">
        <x:v>4</x:v>
      </x:c>
      <x:c r="E128" s="105" t="str">
        <x:v>Home, Utilities &amp; Assets</x:v>
      </x:c>
      <x:c r="F128" s="105" t="n">
        <x:v>5</x:v>
      </x:c>
      <x:c r="G128" s="105" t="str">
        <x:v>Safeguards</x:v>
      </x:c>
      <x:c r="H128" s="101" t="str">
        <x:v>Intentional Home Design — Shape spaces, assets, and technology around how the family actually learns and lives.</x:v>
      </x:c>
      <x:c r="I128" s="101" t="str">
        <x:v>Intentional Home Design Controls</x:v>
      </x:c>
      <x:c r="J128" s="101" t="str">
        <x:v>Apply permissions, limits, alerts, evidence, contingency rules, and exception handling to intentional home design.</x:v>
      </x:c>
      <x:c r="K128" s="101" t="str">
        <x:v>space use; accessibility; digital systems; energy use; storage design; project options; home goals</x:v>
      </x:c>
      <x:c r="L128" s="101" t="str">
        <x:v>Growth Pack</x:v>
      </x:c>
      <x:c r="M128" s="101" t="str">
        <x:f>IF(B128&lt;='Unlock Map'!$B$11,"Enabled","Locked")</x:f>
        <x:v>Locked</x:v>
      </x:c>
    </x:row>
    <x:row r="129" ht="54" customHeight="1">
      <x:c r="A129" s="105" t="str">
        <x:v>S3-D4-E6</x:v>
      </x:c>
      <x:c r="B129" s="105" t="n">
        <x:v>3</x:v>
      </x:c>
      <x:c r="C129" s="105" t="str">
        <x:v>Thinking</x:v>
      </x:c>
      <x:c r="D129" s="105" t="n">
        <x:v>4</x:v>
      </x:c>
      <x:c r="E129" s="105" t="str">
        <x:v>Home, Utilities &amp; Assets</x:v>
      </x:c>
      <x:c r="F129" s="105" t="n">
        <x:v>6</x:v>
      </x:c>
      <x:c r="G129" s="105" t="str">
        <x:v>Insights</x:v>
      </x:c>
      <x:c r="H129" s="101" t="str">
        <x:v>Intentional Home Design — Shape spaces, assets, and technology around how the family actually learns and lives.</x:v>
      </x:c>
      <x:c r="I129" s="101" t="str">
        <x:v>Intentional Home Design Review</x:v>
      </x:c>
      <x:c r="J129" s="101" t="str">
        <x:v>Show status, trends, gaps, risks, outcomes, and next decisions for intentional home design.</x:v>
      </x:c>
      <x:c r="K129" s="101" t="str">
        <x:v>space use; accessibility; digital systems; energy use; storage design; project options; home goals</x:v>
      </x:c>
      <x:c r="L129" s="101" t="str">
        <x:v>Growth Pack</x:v>
      </x:c>
      <x:c r="M129" s="101" t="str">
        <x:f>IF(B129&lt;='Unlock Map'!$B$11,"Enabled","Locked")</x:f>
        <x:v>Locked</x:v>
      </x:c>
    </x:row>
    <x:row r="130" ht="54" customHeight="1">
      <x:c r="A130" s="105" t="str">
        <x:v>S3-D4-E7</x:v>
      </x:c>
      <x:c r="B130" s="105" t="n">
        <x:v>3</x:v>
      </x:c>
      <x:c r="C130" s="105" t="str">
        <x:v>Thinking</x:v>
      </x:c>
      <x:c r="D130" s="105" t="n">
        <x:v>4</x:v>
      </x:c>
      <x:c r="E130" s="105" t="str">
        <x:v>Home, Utilities &amp; Assets</x:v>
      </x:c>
      <x:c r="F130" s="105" t="n">
        <x:v>7</x:v>
      </x:c>
      <x:c r="G130" s="105" t="str">
        <x:v>Automation</x:v>
      </x:c>
      <x:c r="H130" s="101" t="str">
        <x:v>Intentional Home Design — Shape spaces, assets, and technology around how the family actually learns and lives.</x:v>
      </x:c>
      <x:c r="I130" s="101" t="str">
        <x:v>Intentional Home Design Automation</x:v>
      </x:c>
      <x:c r="J130" s="101" t="str">
        <x:v>Use recurring rules, integrations, recommendations, and predictive reminders for intentional home design.</x:v>
      </x:c>
      <x:c r="K130" s="101" t="str">
        <x:v>space use; accessibility; digital systems; energy use; storage design; project options; home goals</x:v>
      </x:c>
      <x:c r="L130" s="101" t="str">
        <x:v>Growth Pack</x:v>
      </x:c>
      <x:c r="M130" s="101" t="str">
        <x:f>IF(B130&lt;='Unlock Map'!$B$11,"Enabled","Locked")</x:f>
        <x:v>Locked</x:v>
      </x:c>
    </x:row>
    <x:row r="131" ht="54" customHeight="1">
      <x:c r="A131" s="105" t="str">
        <x:v>S3-D5-E1</x:v>
      </x:c>
      <x:c r="B131" s="105" t="n">
        <x:v>3</x:v>
      </x:c>
      <x:c r="C131" s="105" t="str">
        <x:v>Thinking</x:v>
      </x:c>
      <x:c r="D131" s="105" t="n">
        <x:v>5</x:v>
      </x:c>
      <x:c r="E131" s="105" t="str">
        <x:v>Food, Time &amp; Daily Operations</x:v>
      </x:c>
      <x:c r="F131" s="105" t="n">
        <x:v>1</x:v>
      </x:c>
      <x:c r="G131" s="105" t="str">
        <x:v>Records</x:v>
      </x:c>
      <x:c r="H131" s="101" t="str">
        <x:v>Time Design &amp; Habit Learning — Reflect on attention, routines, energy, and habits instead of merely filling calendars.</x:v>
      </x:c>
      <x:c r="I131" s="101" t="str">
        <x:v>Time Design &amp; Habit Learning Register</x:v>
      </x:c>
      <x:c r="J131" s="101" t="str">
        <x:v>Capture and maintain time use; habits; focus; rest; interruptions; experiments; review cycles.</x:v>
      </x:c>
      <x:c r="K131" s="101" t="str">
        <x:v>time use; habits; focus; rest; interruptions; experiments; review cycles</x:v>
      </x:c>
      <x:c r="L131" s="101" t="str">
        <x:v>Growth Pack</x:v>
      </x:c>
      <x:c r="M131" s="101" t="str">
        <x:f>IF(B131&lt;='Unlock Map'!$B$11,"Enabled","Locked")</x:f>
        <x:v>Locked</x:v>
      </x:c>
    </x:row>
    <x:row r="132" ht="54" customHeight="1">
      <x:c r="A132" s="105" t="str">
        <x:v>S3-D5-E2</x:v>
      </x:c>
      <x:c r="B132" s="105" t="n">
        <x:v>3</x:v>
      </x:c>
      <x:c r="C132" s="105" t="str">
        <x:v>Thinking</x:v>
      </x:c>
      <x:c r="D132" s="105" t="n">
        <x:v>5</x:v>
      </x:c>
      <x:c r="E132" s="105" t="str">
        <x:v>Food, Time &amp; Daily Operations</x:v>
      </x:c>
      <x:c r="F132" s="105" t="n">
        <x:v>2</x:v>
      </x:c>
      <x:c r="G132" s="105" t="str">
        <x:v>Plans</x:v>
      </x:c>
      <x:c r="H132" s="101" t="str">
        <x:v>Time Design &amp; Habit Learning — Reflect on attention, routines, energy, and habits instead of merely filling calendars.</x:v>
      </x:c>
      <x:c r="I132" s="101" t="str">
        <x:v>Time Design &amp; Habit Learning Plan</x:v>
      </x:c>
      <x:c r="J132" s="101" t="str">
        <x:v>Set goals, budgets, schedules, thresholds, scenarios, and priorities for time design &amp; habit learning.</x:v>
      </x:c>
      <x:c r="K132" s="101" t="str">
        <x:v>time use; habits; focus; rest; interruptions; experiments; review cycles</x:v>
      </x:c>
      <x:c r="L132" s="101" t="str">
        <x:v>Growth Pack</x:v>
      </x:c>
      <x:c r="M132" s="101" t="str">
        <x:f>IF(B132&lt;='Unlock Map'!$B$11,"Enabled","Locked")</x:f>
        <x:v>Locked</x:v>
      </x:c>
    </x:row>
    <x:row r="133" ht="54" customHeight="1">
      <x:c r="A133" s="105" t="str">
        <x:v>S3-D5-E3</x:v>
      </x:c>
      <x:c r="B133" s="105" t="n">
        <x:v>3</x:v>
      </x:c>
      <x:c r="C133" s="105" t="str">
        <x:v>Thinking</x:v>
      </x:c>
      <x:c r="D133" s="105" t="n">
        <x:v>5</x:v>
      </x:c>
      <x:c r="E133" s="105" t="str">
        <x:v>Food, Time &amp; Daily Operations</x:v>
      </x:c>
      <x:c r="F133" s="105" t="n">
        <x:v>3</x:v>
      </x:c>
      <x:c r="G133" s="105" t="str">
        <x:v>Actions</x:v>
      </x:c>
      <x:c r="H133" s="101" t="str">
        <x:v>Time Design &amp; Habit Learning — Reflect on attention, routines, energy, and habits instead of merely filling calendars.</x:v>
      </x:c>
      <x:c r="I133" s="101" t="str">
        <x:v>Time Design &amp; Habit Learning Actions</x:v>
      </x:c>
      <x:c r="J133" s="101" t="str">
        <x:v>Turn the time design &amp; habit learning plan into owned tasks, routines, transactions, projects, and follow-ups.</x:v>
      </x:c>
      <x:c r="K133" s="101" t="str">
        <x:v>time use; habits; focus; rest; interruptions; experiments; review cycles</x:v>
      </x:c>
      <x:c r="L133" s="101" t="str">
        <x:v>Growth Pack</x:v>
      </x:c>
      <x:c r="M133" s="101" t="str">
        <x:f>IF(B133&lt;='Unlock Map'!$B$11,"Enabled","Locked")</x:f>
        <x:v>Locked</x:v>
      </x:c>
    </x:row>
    <x:row r="134" ht="54" customHeight="1">
      <x:c r="A134" s="105" t="str">
        <x:v>S3-D5-E4</x:v>
      </x:c>
      <x:c r="B134" s="105" t="n">
        <x:v>3</x:v>
      </x:c>
      <x:c r="C134" s="105" t="str">
        <x:v>Thinking</x:v>
      </x:c>
      <x:c r="D134" s="105" t="n">
        <x:v>5</x:v>
      </x:c>
      <x:c r="E134" s="105" t="str">
        <x:v>Food, Time &amp; Daily Operations</x:v>
      </x:c>
      <x:c r="F134" s="105" t="n">
        <x:v>4</x:v>
      </x:c>
      <x:c r="G134" s="105" t="str">
        <x:v>Collaboration</x:v>
      </x:c>
      <x:c r="H134" s="101" t="str">
        <x:v>Time Design &amp; Habit Learning — Reflect on attention, routines, energy, and habits instead of merely filling calendars.</x:v>
      </x:c>
      <x:c r="I134" s="101" t="str">
        <x:v>Time Design &amp; Habit Learning Coordination</x:v>
      </x:c>
      <x:c r="J134" s="101" t="str">
        <x:v>Share roles, messages, approvals, handoffs, and appropriate external access for time design &amp; habit learning.</x:v>
      </x:c>
      <x:c r="K134" s="101" t="str">
        <x:v>time use; habits; focus; rest; interruptions; experiments; review cycles</x:v>
      </x:c>
      <x:c r="L134" s="101" t="str">
        <x:v>Growth Pack</x:v>
      </x:c>
      <x:c r="M134" s="101" t="str">
        <x:f>IF(B134&lt;='Unlock Map'!$B$11,"Enabled","Locked")</x:f>
        <x:v>Locked</x:v>
      </x:c>
    </x:row>
    <x:row r="135" ht="54" customHeight="1">
      <x:c r="A135" s="105" t="str">
        <x:v>S3-D5-E5</x:v>
      </x:c>
      <x:c r="B135" s="105" t="n">
        <x:v>3</x:v>
      </x:c>
      <x:c r="C135" s="105" t="str">
        <x:v>Thinking</x:v>
      </x:c>
      <x:c r="D135" s="105" t="n">
        <x:v>5</x:v>
      </x:c>
      <x:c r="E135" s="105" t="str">
        <x:v>Food, Time &amp; Daily Operations</x:v>
      </x:c>
      <x:c r="F135" s="105" t="n">
        <x:v>5</x:v>
      </x:c>
      <x:c r="G135" s="105" t="str">
        <x:v>Safeguards</x:v>
      </x:c>
      <x:c r="H135" s="101" t="str">
        <x:v>Time Design &amp; Habit Learning — Reflect on attention, routines, energy, and habits instead of merely filling calendars.</x:v>
      </x:c>
      <x:c r="I135" s="101" t="str">
        <x:v>Time Design &amp; Habit Learning Controls</x:v>
      </x:c>
      <x:c r="J135" s="101" t="str">
        <x:v>Apply permissions, limits, alerts, evidence, contingency rules, and exception handling to time design &amp; habit learning.</x:v>
      </x:c>
      <x:c r="K135" s="101" t="str">
        <x:v>time use; habits; focus; rest; interruptions; experiments; review cycles</x:v>
      </x:c>
      <x:c r="L135" s="101" t="str">
        <x:v>Growth Pack</x:v>
      </x:c>
      <x:c r="M135" s="101" t="str">
        <x:f>IF(B135&lt;='Unlock Map'!$B$11,"Enabled","Locked")</x:f>
        <x:v>Locked</x:v>
      </x:c>
    </x:row>
    <x:row r="136" ht="54" customHeight="1">
      <x:c r="A136" s="105" t="str">
        <x:v>S3-D5-E6</x:v>
      </x:c>
      <x:c r="B136" s="105" t="n">
        <x:v>3</x:v>
      </x:c>
      <x:c r="C136" s="105" t="str">
        <x:v>Thinking</x:v>
      </x:c>
      <x:c r="D136" s="105" t="n">
        <x:v>5</x:v>
      </x:c>
      <x:c r="E136" s="105" t="str">
        <x:v>Food, Time &amp; Daily Operations</x:v>
      </x:c>
      <x:c r="F136" s="105" t="n">
        <x:v>6</x:v>
      </x:c>
      <x:c r="G136" s="105" t="str">
        <x:v>Insights</x:v>
      </x:c>
      <x:c r="H136" s="101" t="str">
        <x:v>Time Design &amp; Habit Learning — Reflect on attention, routines, energy, and habits instead of merely filling calendars.</x:v>
      </x:c>
      <x:c r="I136" s="101" t="str">
        <x:v>Time Design &amp; Habit Learning Review</x:v>
      </x:c>
      <x:c r="J136" s="101" t="str">
        <x:v>Show status, trends, gaps, risks, outcomes, and next decisions for time design &amp; habit learning.</x:v>
      </x:c>
      <x:c r="K136" s="101" t="str">
        <x:v>time use; habits; focus; rest; interruptions; experiments; review cycles</x:v>
      </x:c>
      <x:c r="L136" s="101" t="str">
        <x:v>Growth Pack</x:v>
      </x:c>
      <x:c r="M136" s="101" t="str">
        <x:f>IF(B136&lt;='Unlock Map'!$B$11,"Enabled","Locked")</x:f>
        <x:v>Locked</x:v>
      </x:c>
    </x:row>
    <x:row r="137" ht="54" customHeight="1">
      <x:c r="A137" s="105" t="str">
        <x:v>S3-D5-E7</x:v>
      </x:c>
      <x:c r="B137" s="105" t="n">
        <x:v>3</x:v>
      </x:c>
      <x:c r="C137" s="105" t="str">
        <x:v>Thinking</x:v>
      </x:c>
      <x:c r="D137" s="105" t="n">
        <x:v>5</x:v>
      </x:c>
      <x:c r="E137" s="105" t="str">
        <x:v>Food, Time &amp; Daily Operations</x:v>
      </x:c>
      <x:c r="F137" s="105" t="n">
        <x:v>7</x:v>
      </x:c>
      <x:c r="G137" s="105" t="str">
        <x:v>Automation</x:v>
      </x:c>
      <x:c r="H137" s="101" t="str">
        <x:v>Time Design &amp; Habit Learning — Reflect on attention, routines, energy, and habits instead of merely filling calendars.</x:v>
      </x:c>
      <x:c r="I137" s="101" t="str">
        <x:v>Time Design &amp; Habit Learning Automation</x:v>
      </x:c>
      <x:c r="J137" s="101" t="str">
        <x:v>Use recurring rules, integrations, recommendations, and predictive reminders for time design &amp; habit learning.</x:v>
      </x:c>
      <x:c r="K137" s="101" t="str">
        <x:v>time use; habits; focus; rest; interruptions; experiments; review cycles</x:v>
      </x:c>
      <x:c r="L137" s="101" t="str">
        <x:v>Growth Pack</x:v>
      </x:c>
      <x:c r="M137" s="101" t="str">
        <x:f>IF(B137&lt;='Unlock Map'!$B$11,"Enabled","Locked")</x:f>
        <x:v>Locked</x:v>
      </x:c>
    </x:row>
    <x:row r="138" ht="54" customHeight="1">
      <x:c r="A138" s="105" t="str">
        <x:v>S3-D6-E1</x:v>
      </x:c>
      <x:c r="B138" s="105" t="n">
        <x:v>3</x:v>
      </x:c>
      <x:c r="C138" s="105" t="str">
        <x:v>Thinking</x:v>
      </x:c>
      <x:c r="D138" s="105" t="n">
        <x:v>6</x:v>
      </x:c>
      <x:c r="E138" s="105" t="str">
        <x:v>Family, Relationships &amp; Community</x:v>
      </x:c>
      <x:c r="F138" s="105" t="n">
        <x:v>1</x:v>
      </x:c>
      <x:c r="G138" s="105" t="str">
        <x:v>Records</x:v>
      </x:c>
      <x:c r="H138" s="101" t="str">
        <x:v>Family Decisions &amp; Healthy Autonomy — Make reasoning, values, consent, boundaries, and child development visible in family decisions.</x:v>
      </x:c>
      <x:c r="I138" s="101" t="str">
        <x:v>Family Decisions &amp; Healthy Autonomy Register</x:v>
      </x:c>
      <x:c r="J138" s="101" t="str">
        <x:v>Capture and maintain family principles; proposals; consent; decisions; disagreements; boundaries; child voice.</x:v>
      </x:c>
      <x:c r="K138" s="101" t="str">
        <x:v>family principles; proposals; consent; decisions; disagreements; boundaries; child voice</x:v>
      </x:c>
      <x:c r="L138" s="101" t="str">
        <x:v>Growth Pack</x:v>
      </x:c>
      <x:c r="M138" s="101" t="str">
        <x:f>IF(B138&lt;='Unlock Map'!$B$11,"Enabled","Locked")</x:f>
        <x:v>Locked</x:v>
      </x:c>
    </x:row>
    <x:row r="139" ht="54" customHeight="1">
      <x:c r="A139" s="105" t="str">
        <x:v>S3-D6-E2</x:v>
      </x:c>
      <x:c r="B139" s="105" t="n">
        <x:v>3</x:v>
      </x:c>
      <x:c r="C139" s="105" t="str">
        <x:v>Thinking</x:v>
      </x:c>
      <x:c r="D139" s="105" t="n">
        <x:v>6</x:v>
      </x:c>
      <x:c r="E139" s="105" t="str">
        <x:v>Family, Relationships &amp; Community</x:v>
      </x:c>
      <x:c r="F139" s="105" t="n">
        <x:v>2</x:v>
      </x:c>
      <x:c r="G139" s="105" t="str">
        <x:v>Plans</x:v>
      </x:c>
      <x:c r="H139" s="101" t="str">
        <x:v>Family Decisions &amp; Healthy Autonomy — Make reasoning, values, consent, boundaries, and child development visible in family decisions.</x:v>
      </x:c>
      <x:c r="I139" s="101" t="str">
        <x:v>Family Decisions &amp; Healthy Autonomy Plan</x:v>
      </x:c>
      <x:c r="J139" s="101" t="str">
        <x:v>Set goals, budgets, schedules, thresholds, scenarios, and priorities for family decisions &amp; healthy autonomy.</x:v>
      </x:c>
      <x:c r="K139" s="101" t="str">
        <x:v>family principles; proposals; consent; decisions; disagreements; boundaries; child voice</x:v>
      </x:c>
      <x:c r="L139" s="101" t="str">
        <x:v>Growth Pack</x:v>
      </x:c>
      <x:c r="M139" s="101" t="str">
        <x:f>IF(B139&lt;='Unlock Map'!$B$11,"Enabled","Locked")</x:f>
        <x:v>Locked</x:v>
      </x:c>
    </x:row>
    <x:row r="140" ht="54" customHeight="1">
      <x:c r="A140" s="105" t="str">
        <x:v>S3-D6-E3</x:v>
      </x:c>
      <x:c r="B140" s="105" t="n">
        <x:v>3</x:v>
      </x:c>
      <x:c r="C140" s="105" t="str">
        <x:v>Thinking</x:v>
      </x:c>
      <x:c r="D140" s="105" t="n">
        <x:v>6</x:v>
      </x:c>
      <x:c r="E140" s="105" t="str">
        <x:v>Family, Relationships &amp; Community</x:v>
      </x:c>
      <x:c r="F140" s="105" t="n">
        <x:v>3</x:v>
      </x:c>
      <x:c r="G140" s="105" t="str">
        <x:v>Actions</x:v>
      </x:c>
      <x:c r="H140" s="101" t="str">
        <x:v>Family Decisions &amp; Healthy Autonomy — Make reasoning, values, consent, boundaries, and child development visible in family decisions.</x:v>
      </x:c>
      <x:c r="I140" s="101" t="str">
        <x:v>Family Decisions &amp; Healthy Autonomy Actions</x:v>
      </x:c>
      <x:c r="J140" s="101" t="str">
        <x:v>Turn the family decisions &amp; healthy autonomy plan into owned tasks, routines, transactions, projects, and follow-ups.</x:v>
      </x:c>
      <x:c r="K140" s="101" t="str">
        <x:v>family principles; proposals; consent; decisions; disagreements; boundaries; child voice</x:v>
      </x:c>
      <x:c r="L140" s="101" t="str">
        <x:v>Growth Pack</x:v>
      </x:c>
      <x:c r="M140" s="101" t="str">
        <x:f>IF(B140&lt;='Unlock Map'!$B$11,"Enabled","Locked")</x:f>
        <x:v>Locked</x:v>
      </x:c>
    </x:row>
    <x:row r="141" ht="54" customHeight="1">
      <x:c r="A141" s="105" t="str">
        <x:v>S3-D6-E4</x:v>
      </x:c>
      <x:c r="B141" s="105" t="n">
        <x:v>3</x:v>
      </x:c>
      <x:c r="C141" s="105" t="str">
        <x:v>Thinking</x:v>
      </x:c>
      <x:c r="D141" s="105" t="n">
        <x:v>6</x:v>
      </x:c>
      <x:c r="E141" s="105" t="str">
        <x:v>Family, Relationships &amp; Community</x:v>
      </x:c>
      <x:c r="F141" s="105" t="n">
        <x:v>4</x:v>
      </x:c>
      <x:c r="G141" s="105" t="str">
        <x:v>Collaboration</x:v>
      </x:c>
      <x:c r="H141" s="101" t="str">
        <x:v>Family Decisions &amp; Healthy Autonomy — Make reasoning, values, consent, boundaries, and child development visible in family decisions.</x:v>
      </x:c>
      <x:c r="I141" s="101" t="str">
        <x:v>Family Decisions &amp; Healthy Autonomy Coordination</x:v>
      </x:c>
      <x:c r="J141" s="101" t="str">
        <x:v>Share roles, messages, approvals, handoffs, and appropriate external access for family decisions &amp; healthy autonomy.</x:v>
      </x:c>
      <x:c r="K141" s="101" t="str">
        <x:v>family principles; proposals; consent; decisions; disagreements; boundaries; child voice</x:v>
      </x:c>
      <x:c r="L141" s="101" t="str">
        <x:v>Growth Pack</x:v>
      </x:c>
      <x:c r="M141" s="101" t="str">
        <x:f>IF(B141&lt;='Unlock Map'!$B$11,"Enabled","Locked")</x:f>
        <x:v>Locked</x:v>
      </x:c>
    </x:row>
    <x:row r="142" ht="54" customHeight="1">
      <x:c r="A142" s="105" t="str">
        <x:v>S3-D6-E5</x:v>
      </x:c>
      <x:c r="B142" s="105" t="n">
        <x:v>3</x:v>
      </x:c>
      <x:c r="C142" s="105" t="str">
        <x:v>Thinking</x:v>
      </x:c>
      <x:c r="D142" s="105" t="n">
        <x:v>6</x:v>
      </x:c>
      <x:c r="E142" s="105" t="str">
        <x:v>Family, Relationships &amp; Community</x:v>
      </x:c>
      <x:c r="F142" s="105" t="n">
        <x:v>5</x:v>
      </x:c>
      <x:c r="G142" s="105" t="str">
        <x:v>Safeguards</x:v>
      </x:c>
      <x:c r="H142" s="101" t="str">
        <x:v>Family Decisions &amp; Healthy Autonomy — Make reasoning, values, consent, boundaries, and child development visible in family decisions.</x:v>
      </x:c>
      <x:c r="I142" s="101" t="str">
        <x:v>Family Decisions &amp; Healthy Autonomy Controls</x:v>
      </x:c>
      <x:c r="J142" s="101" t="str">
        <x:v>Apply permissions, limits, alerts, evidence, contingency rules, and exception handling to family decisions &amp; healthy autonomy.</x:v>
      </x:c>
      <x:c r="K142" s="101" t="str">
        <x:v>family principles; proposals; consent; decisions; disagreements; boundaries; child voice</x:v>
      </x:c>
      <x:c r="L142" s="101" t="str">
        <x:v>Growth Pack</x:v>
      </x:c>
      <x:c r="M142" s="101" t="str">
        <x:f>IF(B142&lt;='Unlock Map'!$B$11,"Enabled","Locked")</x:f>
        <x:v>Locked</x:v>
      </x:c>
    </x:row>
    <x:row r="143" ht="54" customHeight="1">
      <x:c r="A143" s="105" t="str">
        <x:v>S3-D6-E6</x:v>
      </x:c>
      <x:c r="B143" s="105" t="n">
        <x:v>3</x:v>
      </x:c>
      <x:c r="C143" s="105" t="str">
        <x:v>Thinking</x:v>
      </x:c>
      <x:c r="D143" s="105" t="n">
        <x:v>6</x:v>
      </x:c>
      <x:c r="E143" s="105" t="str">
        <x:v>Family, Relationships &amp; Community</x:v>
      </x:c>
      <x:c r="F143" s="105" t="n">
        <x:v>6</x:v>
      </x:c>
      <x:c r="G143" s="105" t="str">
        <x:v>Insights</x:v>
      </x:c>
      <x:c r="H143" s="101" t="str">
        <x:v>Family Decisions &amp; Healthy Autonomy — Make reasoning, values, consent, boundaries, and child development visible in family decisions.</x:v>
      </x:c>
      <x:c r="I143" s="101" t="str">
        <x:v>Family Decisions &amp; Healthy Autonomy Review</x:v>
      </x:c>
      <x:c r="J143" s="101" t="str">
        <x:v>Show status, trends, gaps, risks, outcomes, and next decisions for family decisions &amp; healthy autonomy.</x:v>
      </x:c>
      <x:c r="K143" s="101" t="str">
        <x:v>family principles; proposals; consent; decisions; disagreements; boundaries; child voice</x:v>
      </x:c>
      <x:c r="L143" s="101" t="str">
        <x:v>Growth Pack</x:v>
      </x:c>
      <x:c r="M143" s="101" t="str">
        <x:f>IF(B143&lt;='Unlock Map'!$B$11,"Enabled","Locked")</x:f>
        <x:v>Locked</x:v>
      </x:c>
    </x:row>
    <x:row r="144" ht="54" customHeight="1">
      <x:c r="A144" s="105" t="str">
        <x:v>S3-D6-E7</x:v>
      </x:c>
      <x:c r="B144" s="105" t="n">
        <x:v>3</x:v>
      </x:c>
      <x:c r="C144" s="105" t="str">
        <x:v>Thinking</x:v>
      </x:c>
      <x:c r="D144" s="105" t="n">
        <x:v>6</x:v>
      </x:c>
      <x:c r="E144" s="105" t="str">
        <x:v>Family, Relationships &amp; Community</x:v>
      </x:c>
      <x:c r="F144" s="105" t="n">
        <x:v>7</x:v>
      </x:c>
      <x:c r="G144" s="105" t="str">
        <x:v>Automation</x:v>
      </x:c>
      <x:c r="H144" s="101" t="str">
        <x:v>Family Decisions &amp; Healthy Autonomy — Make reasoning, values, consent, boundaries, and child development visible in family decisions.</x:v>
      </x:c>
      <x:c r="I144" s="101" t="str">
        <x:v>Family Decisions &amp; Healthy Autonomy Automation</x:v>
      </x:c>
      <x:c r="J144" s="101" t="str">
        <x:v>Use recurring rules, integrations, recommendations, and predictive reminders for family decisions &amp; healthy autonomy.</x:v>
      </x:c>
      <x:c r="K144" s="101" t="str">
        <x:v>family principles; proposals; consent; decisions; disagreements; boundaries; child voice</x:v>
      </x:c>
      <x:c r="L144" s="101" t="str">
        <x:v>Growth Pack</x:v>
      </x:c>
      <x:c r="M144" s="101" t="str">
        <x:f>IF(B144&lt;='Unlock Map'!$B$11,"Enabled","Locked")</x:f>
        <x:v>Locked</x:v>
      </x:c>
    </x:row>
    <x:row r="145" ht="54" customHeight="1">
      <x:c r="A145" s="105" t="str">
        <x:v>S3-D7-E1</x:v>
      </x:c>
      <x:c r="B145" s="105" t="n">
        <x:v>3</x:v>
      </x:c>
      <x:c r="C145" s="105" t="str">
        <x:v>Thinking</x:v>
      </x:c>
      <x:c r="D145" s="105" t="n">
        <x:v>7</x:v>
      </x:c>
      <x:c r="E145" s="105" t="str">
        <x:v>Safety, Legal &amp; Governance</x:v>
      </x:c>
      <x:c r="F145" s="105" t="n">
        <x:v>1</x:v>
      </x:c>
      <x:c r="G145" s="105" t="str">
        <x:v>Records</x:v>
      </x:c>
      <x:c r="H145" s="101" t="str">
        <x:v>Risk Thinking &amp; Information Quality — Anticipate scenarios, verify information, and understand the consequences of decisions.</x:v>
      </x:c>
      <x:c r="I145" s="101" t="str">
        <x:v>Risk Thinking &amp; Information Quality Register</x:v>
      </x:c>
      <x:c r="J145" s="101" t="str">
        <x:v>Capture and maintain risk register; scenarios; sources; evidence; privacy; biases; contingency options.</x:v>
      </x:c>
      <x:c r="K145" s="101" t="str">
        <x:v>risk register; scenarios; sources; evidence; privacy; biases; contingency options</x:v>
      </x:c>
      <x:c r="L145" s="101" t="str">
        <x:v>Growth Pack</x:v>
      </x:c>
      <x:c r="M145" s="101" t="str">
        <x:f>IF(B145&lt;='Unlock Map'!$B$11,"Enabled","Locked")</x:f>
        <x:v>Locked</x:v>
      </x:c>
    </x:row>
    <x:row r="146" ht="54" customHeight="1">
      <x:c r="A146" s="105" t="str">
        <x:v>S3-D7-E2</x:v>
      </x:c>
      <x:c r="B146" s="105" t="n">
        <x:v>3</x:v>
      </x:c>
      <x:c r="C146" s="105" t="str">
        <x:v>Thinking</x:v>
      </x:c>
      <x:c r="D146" s="105" t="n">
        <x:v>7</x:v>
      </x:c>
      <x:c r="E146" s="105" t="str">
        <x:v>Safety, Legal &amp; Governance</x:v>
      </x:c>
      <x:c r="F146" s="105" t="n">
        <x:v>2</x:v>
      </x:c>
      <x:c r="G146" s="105" t="str">
        <x:v>Plans</x:v>
      </x:c>
      <x:c r="H146" s="101" t="str">
        <x:v>Risk Thinking &amp; Information Quality — Anticipate scenarios, verify information, and understand the consequences of decisions.</x:v>
      </x:c>
      <x:c r="I146" s="101" t="str">
        <x:v>Risk Thinking &amp; Information Quality Plan</x:v>
      </x:c>
      <x:c r="J146" s="101" t="str">
        <x:v>Set goals, budgets, schedules, thresholds, scenarios, and priorities for risk thinking &amp; information quality.</x:v>
      </x:c>
      <x:c r="K146" s="101" t="str">
        <x:v>risk register; scenarios; sources; evidence; privacy; biases; contingency options</x:v>
      </x:c>
      <x:c r="L146" s="101" t="str">
        <x:v>Growth Pack</x:v>
      </x:c>
      <x:c r="M146" s="101" t="str">
        <x:f>IF(B146&lt;='Unlock Map'!$B$11,"Enabled","Locked")</x:f>
        <x:v>Locked</x:v>
      </x:c>
    </x:row>
    <x:row r="147" ht="54" customHeight="1">
      <x:c r="A147" s="105" t="str">
        <x:v>S3-D7-E3</x:v>
      </x:c>
      <x:c r="B147" s="105" t="n">
        <x:v>3</x:v>
      </x:c>
      <x:c r="C147" s="105" t="str">
        <x:v>Thinking</x:v>
      </x:c>
      <x:c r="D147" s="105" t="n">
        <x:v>7</x:v>
      </x:c>
      <x:c r="E147" s="105" t="str">
        <x:v>Safety, Legal &amp; Governance</x:v>
      </x:c>
      <x:c r="F147" s="105" t="n">
        <x:v>3</x:v>
      </x:c>
      <x:c r="G147" s="105" t="str">
        <x:v>Actions</x:v>
      </x:c>
      <x:c r="H147" s="101" t="str">
        <x:v>Risk Thinking &amp; Information Quality — Anticipate scenarios, verify information, and understand the consequences of decisions.</x:v>
      </x:c>
      <x:c r="I147" s="101" t="str">
        <x:v>Risk Thinking &amp; Information Quality Actions</x:v>
      </x:c>
      <x:c r="J147" s="101" t="str">
        <x:v>Turn the risk thinking &amp; information quality plan into owned tasks, routines, transactions, projects, and follow-ups.</x:v>
      </x:c>
      <x:c r="K147" s="101" t="str">
        <x:v>risk register; scenarios; sources; evidence; privacy; biases; contingency options</x:v>
      </x:c>
      <x:c r="L147" s="101" t="str">
        <x:v>Growth Pack</x:v>
      </x:c>
      <x:c r="M147" s="101" t="str">
        <x:f>IF(B147&lt;='Unlock Map'!$B$11,"Enabled","Locked")</x:f>
        <x:v>Locked</x:v>
      </x:c>
    </x:row>
    <x:row r="148" ht="54" customHeight="1">
      <x:c r="A148" s="105" t="str">
        <x:v>S3-D7-E4</x:v>
      </x:c>
      <x:c r="B148" s="105" t="n">
        <x:v>3</x:v>
      </x:c>
      <x:c r="C148" s="105" t="str">
        <x:v>Thinking</x:v>
      </x:c>
      <x:c r="D148" s="105" t="n">
        <x:v>7</x:v>
      </x:c>
      <x:c r="E148" s="105" t="str">
        <x:v>Safety, Legal &amp; Governance</x:v>
      </x:c>
      <x:c r="F148" s="105" t="n">
        <x:v>4</x:v>
      </x:c>
      <x:c r="G148" s="105" t="str">
        <x:v>Collaboration</x:v>
      </x:c>
      <x:c r="H148" s="101" t="str">
        <x:v>Risk Thinking &amp; Information Quality — Anticipate scenarios, verify information, and understand the consequences of decisions.</x:v>
      </x:c>
      <x:c r="I148" s="101" t="str">
        <x:v>Risk Thinking &amp; Information Quality Coordination</x:v>
      </x:c>
      <x:c r="J148" s="101" t="str">
        <x:v>Share roles, messages, approvals, handoffs, and appropriate external access for risk thinking &amp; information quality.</x:v>
      </x:c>
      <x:c r="K148" s="101" t="str">
        <x:v>risk register; scenarios; sources; evidence; privacy; biases; contingency options</x:v>
      </x:c>
      <x:c r="L148" s="101" t="str">
        <x:v>Growth Pack</x:v>
      </x:c>
      <x:c r="M148" s="101" t="str">
        <x:f>IF(B148&lt;='Unlock Map'!$B$11,"Enabled","Locked")</x:f>
        <x:v>Locked</x:v>
      </x:c>
    </x:row>
    <x:row r="149" ht="54" customHeight="1">
      <x:c r="A149" s="105" t="str">
        <x:v>S3-D7-E5</x:v>
      </x:c>
      <x:c r="B149" s="105" t="n">
        <x:v>3</x:v>
      </x:c>
      <x:c r="C149" s="105" t="str">
        <x:v>Thinking</x:v>
      </x:c>
      <x:c r="D149" s="105" t="n">
        <x:v>7</x:v>
      </x:c>
      <x:c r="E149" s="105" t="str">
        <x:v>Safety, Legal &amp; Governance</x:v>
      </x:c>
      <x:c r="F149" s="105" t="n">
        <x:v>5</x:v>
      </x:c>
      <x:c r="G149" s="105" t="str">
        <x:v>Safeguards</x:v>
      </x:c>
      <x:c r="H149" s="101" t="str">
        <x:v>Risk Thinking &amp; Information Quality — Anticipate scenarios, verify information, and understand the consequences of decisions.</x:v>
      </x:c>
      <x:c r="I149" s="101" t="str">
        <x:v>Risk Thinking &amp; Information Quality Controls</x:v>
      </x:c>
      <x:c r="J149" s="101" t="str">
        <x:v>Apply permissions, limits, alerts, evidence, contingency rules, and exception handling to risk thinking &amp; information quality.</x:v>
      </x:c>
      <x:c r="K149" s="101" t="str">
        <x:v>risk register; scenarios; sources; evidence; privacy; biases; contingency options</x:v>
      </x:c>
      <x:c r="L149" s="101" t="str">
        <x:v>Growth Pack</x:v>
      </x:c>
      <x:c r="M149" s="101" t="str">
        <x:f>IF(B149&lt;='Unlock Map'!$B$11,"Enabled","Locked")</x:f>
        <x:v>Locked</x:v>
      </x:c>
    </x:row>
    <x:row r="150" ht="54" customHeight="1">
      <x:c r="A150" s="105" t="str">
        <x:v>S3-D7-E6</x:v>
      </x:c>
      <x:c r="B150" s="105" t="n">
        <x:v>3</x:v>
      </x:c>
      <x:c r="C150" s="105" t="str">
        <x:v>Thinking</x:v>
      </x:c>
      <x:c r="D150" s="105" t="n">
        <x:v>7</x:v>
      </x:c>
      <x:c r="E150" s="105" t="str">
        <x:v>Safety, Legal &amp; Governance</x:v>
      </x:c>
      <x:c r="F150" s="105" t="n">
        <x:v>6</x:v>
      </x:c>
      <x:c r="G150" s="105" t="str">
        <x:v>Insights</x:v>
      </x:c>
      <x:c r="H150" s="101" t="str">
        <x:v>Risk Thinking &amp; Information Quality — Anticipate scenarios, verify information, and understand the consequences of decisions.</x:v>
      </x:c>
      <x:c r="I150" s="101" t="str">
        <x:v>Risk Thinking &amp; Information Quality Review</x:v>
      </x:c>
      <x:c r="J150" s="101" t="str">
        <x:v>Show status, trends, gaps, risks, outcomes, and next decisions for risk thinking &amp; information quality.</x:v>
      </x:c>
      <x:c r="K150" s="101" t="str">
        <x:v>risk register; scenarios; sources; evidence; privacy; biases; contingency options</x:v>
      </x:c>
      <x:c r="L150" s="101" t="str">
        <x:v>Growth Pack</x:v>
      </x:c>
      <x:c r="M150" s="101" t="str">
        <x:f>IF(B150&lt;='Unlock Map'!$B$11,"Enabled","Locked")</x:f>
        <x:v>Locked</x:v>
      </x:c>
    </x:row>
    <x:row r="151" ht="54" customHeight="1">
      <x:c r="A151" s="105" t="str">
        <x:v>S3-D7-E7</x:v>
      </x:c>
      <x:c r="B151" s="105" t="n">
        <x:v>3</x:v>
      </x:c>
      <x:c r="C151" s="105" t="str">
        <x:v>Thinking</x:v>
      </x:c>
      <x:c r="D151" s="105" t="n">
        <x:v>7</x:v>
      </x:c>
      <x:c r="E151" s="105" t="str">
        <x:v>Safety, Legal &amp; Governance</x:v>
      </x:c>
      <x:c r="F151" s="105" t="n">
        <x:v>7</x:v>
      </x:c>
      <x:c r="G151" s="105" t="str">
        <x:v>Automation</x:v>
      </x:c>
      <x:c r="H151" s="101" t="str">
        <x:v>Risk Thinking &amp; Information Quality — Anticipate scenarios, verify information, and understand the consequences of decisions.</x:v>
      </x:c>
      <x:c r="I151" s="101" t="str">
        <x:v>Risk Thinking &amp; Information Quality Automation</x:v>
      </x:c>
      <x:c r="J151" s="101" t="str">
        <x:v>Use recurring rules, integrations, recommendations, and predictive reminders for risk thinking &amp; information quality.</x:v>
      </x:c>
      <x:c r="K151" s="101" t="str">
        <x:v>risk register; scenarios; sources; evidence; privacy; biases; contingency options</x:v>
      </x:c>
      <x:c r="L151" s="101" t="str">
        <x:v>Growth Pack</x:v>
      </x:c>
      <x:c r="M151" s="101" t="str">
        <x:f>IF(B151&lt;='Unlock Map'!$B$11,"Enabled","Locked")</x:f>
        <x:v>Locked</x:v>
      </x:c>
    </x:row>
    <x:row r="152" ht="54" customHeight="1">
      <x:c r="A152" s="106" t="str">
        <x:v>S4-D1-E1</x:v>
      </x:c>
      <x:c r="B152" s="106" t="n">
        <x:v>4</x:v>
      </x:c>
      <x:c r="C152" s="106" t="str">
        <x:v>Expressing</x:v>
      </x:c>
      <x:c r="D152" s="106" t="n">
        <x:v>1</x:v>
      </x:c>
      <x:c r="E152" s="106" t="str">
        <x:v>Finance, Work &amp; Wealth</x:v>
      </x:c>
      <x:c r="F152" s="106" t="n">
        <x:v>1</x:v>
      </x:c>
      <x:c r="G152" s="106" t="str">
        <x:v>Records</x:v>
      </x:c>
      <x:c r="H152" s="102" t="str">
        <x:v>Ethical Spending &amp; Local Enterprise — Express household values through work, purchasing, entrepreneurship, and local economic participation.</x:v>
      </x:c>
      <x:c r="I152" s="102" t="str">
        <x:v>Ethical Spending &amp; Local Enterprise Register</x:v>
      </x:c>
      <x:c r="J152" s="102" t="str">
        <x:v>Capture and maintain ethical vendors; local businesses; family enterprise; fair work; donations; community spending.</x:v>
      </x:c>
      <x:c r="K152" s="102" t="str">
        <x:v>ethical vendors; local businesses; family enterprise; fair work; donations; community spending</x:v>
      </x:c>
      <x:c r="L152" s="102" t="str">
        <x:v>Community Pack</x:v>
      </x:c>
      <x:c r="M152" s="102" t="str">
        <x:f>IF(B152&lt;='Unlock Map'!$B$11,"Enabled","Locked")</x:f>
        <x:v>Locked</x:v>
      </x:c>
    </x:row>
    <x:row r="153" ht="54" customHeight="1">
      <x:c r="A153" s="107" t="str">
        <x:v>S4-D1-E2</x:v>
      </x:c>
      <x:c r="B153" s="107" t="n">
        <x:v>4</x:v>
      </x:c>
      <x:c r="C153" s="107" t="str">
        <x:v>Expressing</x:v>
      </x:c>
      <x:c r="D153" s="107" t="n">
        <x:v>1</x:v>
      </x:c>
      <x:c r="E153" s="107" t="str">
        <x:v>Finance, Work &amp; Wealth</x:v>
      </x:c>
      <x:c r="F153" s="107" t="n">
        <x:v>2</x:v>
      </x:c>
      <x:c r="G153" s="107" t="str">
        <x:v>Plans</x:v>
      </x:c>
      <x:c r="H153" s="103" t="str">
        <x:v>Ethical Spending &amp; Local Enterprise — Express household values through work, purchasing, entrepreneurship, and local economic participation.</x:v>
      </x:c>
      <x:c r="I153" s="103" t="str">
        <x:v>Ethical Spending &amp; Local Enterprise Plan</x:v>
      </x:c>
      <x:c r="J153" s="103" t="str">
        <x:v>Set goals, budgets, schedules, thresholds, scenarios, and priorities for ethical spending &amp; local enterprise.</x:v>
      </x:c>
      <x:c r="K153" s="103" t="str">
        <x:v>ethical vendors; local businesses; family enterprise; fair work; donations; community spending</x:v>
      </x:c>
      <x:c r="L153" s="103" t="str">
        <x:v>Community Pack</x:v>
      </x:c>
      <x:c r="M153" s="103" t="str">
        <x:f>IF(B153&lt;='Unlock Map'!$B$11,"Enabled","Locked")</x:f>
        <x:v>Locked</x:v>
      </x:c>
    </x:row>
    <x:row r="154" ht="54" customHeight="1">
      <x:c r="A154" s="107" t="str">
        <x:v>S4-D1-E3</x:v>
      </x:c>
      <x:c r="B154" s="107" t="n">
        <x:v>4</x:v>
      </x:c>
      <x:c r="C154" s="107" t="str">
        <x:v>Expressing</x:v>
      </x:c>
      <x:c r="D154" s="107" t="n">
        <x:v>1</x:v>
      </x:c>
      <x:c r="E154" s="107" t="str">
        <x:v>Finance, Work &amp; Wealth</x:v>
      </x:c>
      <x:c r="F154" s="107" t="n">
        <x:v>3</x:v>
      </x:c>
      <x:c r="G154" s="107" t="str">
        <x:v>Actions</x:v>
      </x:c>
      <x:c r="H154" s="103" t="str">
        <x:v>Ethical Spending &amp; Local Enterprise — Express household values through work, purchasing, entrepreneurship, and local economic participation.</x:v>
      </x:c>
      <x:c r="I154" s="103" t="str">
        <x:v>Ethical Spending &amp; Local Enterprise Actions</x:v>
      </x:c>
      <x:c r="J154" s="103" t="str">
        <x:v>Turn the ethical spending &amp; local enterprise plan into owned tasks, routines, transactions, projects, and follow-ups.</x:v>
      </x:c>
      <x:c r="K154" s="103" t="str">
        <x:v>ethical vendors; local businesses; family enterprise; fair work; donations; community spending</x:v>
      </x:c>
      <x:c r="L154" s="103" t="str">
        <x:v>Community Pack</x:v>
      </x:c>
      <x:c r="M154" s="103" t="str">
        <x:f>IF(B154&lt;='Unlock Map'!$B$11,"Enabled","Locked")</x:f>
        <x:v>Locked</x:v>
      </x:c>
    </x:row>
    <x:row r="155" ht="54" customHeight="1">
      <x:c r="A155" s="107" t="str">
        <x:v>S4-D1-E4</x:v>
      </x:c>
      <x:c r="B155" s="107" t="n">
        <x:v>4</x:v>
      </x:c>
      <x:c r="C155" s="107" t="str">
        <x:v>Expressing</x:v>
      </x:c>
      <x:c r="D155" s="107" t="n">
        <x:v>1</x:v>
      </x:c>
      <x:c r="E155" s="107" t="str">
        <x:v>Finance, Work &amp; Wealth</x:v>
      </x:c>
      <x:c r="F155" s="107" t="n">
        <x:v>4</x:v>
      </x:c>
      <x:c r="G155" s="107" t="str">
        <x:v>Collaboration</x:v>
      </x:c>
      <x:c r="H155" s="103" t="str">
        <x:v>Ethical Spending &amp; Local Enterprise — Express household values through work, purchasing, entrepreneurship, and local economic participation.</x:v>
      </x:c>
      <x:c r="I155" s="103" t="str">
        <x:v>Ethical Spending &amp; Local Enterprise Coordination</x:v>
      </x:c>
      <x:c r="J155" s="103" t="str">
        <x:v>Share roles, messages, approvals, handoffs, and appropriate external access for ethical spending &amp; local enterprise.</x:v>
      </x:c>
      <x:c r="K155" s="103" t="str">
        <x:v>ethical vendors; local businesses; family enterprise; fair work; donations; community spending</x:v>
      </x:c>
      <x:c r="L155" s="103" t="str">
        <x:v>Community Pack</x:v>
      </x:c>
      <x:c r="M155" s="103" t="str">
        <x:f>IF(B155&lt;='Unlock Map'!$B$11,"Enabled","Locked")</x:f>
        <x:v>Locked</x:v>
      </x:c>
    </x:row>
    <x:row r="156" ht="54" customHeight="1">
      <x:c r="A156" s="107" t="str">
        <x:v>S4-D1-E5</x:v>
      </x:c>
      <x:c r="B156" s="107" t="n">
        <x:v>4</x:v>
      </x:c>
      <x:c r="C156" s="107" t="str">
        <x:v>Expressing</x:v>
      </x:c>
      <x:c r="D156" s="107" t="n">
        <x:v>1</x:v>
      </x:c>
      <x:c r="E156" s="107" t="str">
        <x:v>Finance, Work &amp; Wealth</x:v>
      </x:c>
      <x:c r="F156" s="107" t="n">
        <x:v>5</x:v>
      </x:c>
      <x:c r="G156" s="107" t="str">
        <x:v>Safeguards</x:v>
      </x:c>
      <x:c r="H156" s="103" t="str">
        <x:v>Ethical Spending &amp; Local Enterprise — Express household values through work, purchasing, entrepreneurship, and local economic participation.</x:v>
      </x:c>
      <x:c r="I156" s="103" t="str">
        <x:v>Ethical Spending &amp; Local Enterprise Controls</x:v>
      </x:c>
      <x:c r="J156" s="103" t="str">
        <x:v>Apply permissions, limits, alerts, evidence, contingency rules, and exception handling to ethical spending &amp; local enterprise.</x:v>
      </x:c>
      <x:c r="K156" s="103" t="str">
        <x:v>ethical vendors; local businesses; family enterprise; fair work; donations; community spending</x:v>
      </x:c>
      <x:c r="L156" s="103" t="str">
        <x:v>Community Pack</x:v>
      </x:c>
      <x:c r="M156" s="103" t="str">
        <x:f>IF(B156&lt;='Unlock Map'!$B$11,"Enabled","Locked")</x:f>
        <x:v>Locked</x:v>
      </x:c>
    </x:row>
    <x:row r="157" ht="54" customHeight="1">
      <x:c r="A157" s="107" t="str">
        <x:v>S4-D1-E6</x:v>
      </x:c>
      <x:c r="B157" s="107" t="n">
        <x:v>4</x:v>
      </x:c>
      <x:c r="C157" s="107" t="str">
        <x:v>Expressing</x:v>
      </x:c>
      <x:c r="D157" s="107" t="n">
        <x:v>1</x:v>
      </x:c>
      <x:c r="E157" s="107" t="str">
        <x:v>Finance, Work &amp; Wealth</x:v>
      </x:c>
      <x:c r="F157" s="107" t="n">
        <x:v>6</x:v>
      </x:c>
      <x:c r="G157" s="107" t="str">
        <x:v>Insights</x:v>
      </x:c>
      <x:c r="H157" s="103" t="str">
        <x:v>Ethical Spending &amp; Local Enterprise — Express household values through work, purchasing, entrepreneurship, and local economic participation.</x:v>
      </x:c>
      <x:c r="I157" s="103" t="str">
        <x:v>Ethical Spending &amp; Local Enterprise Review</x:v>
      </x:c>
      <x:c r="J157" s="103" t="str">
        <x:v>Show status, trends, gaps, risks, outcomes, and next decisions for ethical spending &amp; local enterprise.</x:v>
      </x:c>
      <x:c r="K157" s="103" t="str">
        <x:v>ethical vendors; local businesses; family enterprise; fair work; donations; community spending</x:v>
      </x:c>
      <x:c r="L157" s="103" t="str">
        <x:v>Community Pack</x:v>
      </x:c>
      <x:c r="M157" s="103" t="str">
        <x:f>IF(B157&lt;='Unlock Map'!$B$11,"Enabled","Locked")</x:f>
        <x:v>Locked</x:v>
      </x:c>
    </x:row>
    <x:row r="158" ht="54" customHeight="1">
      <x:c r="A158" s="107" t="str">
        <x:v>S4-D1-E7</x:v>
      </x:c>
      <x:c r="B158" s="107" t="n">
        <x:v>4</x:v>
      </x:c>
      <x:c r="C158" s="107" t="str">
        <x:v>Expressing</x:v>
      </x:c>
      <x:c r="D158" s="107" t="n">
        <x:v>1</x:v>
      </x:c>
      <x:c r="E158" s="107" t="str">
        <x:v>Finance, Work &amp; Wealth</x:v>
      </x:c>
      <x:c r="F158" s="107" t="n">
        <x:v>7</x:v>
      </x:c>
      <x:c r="G158" s="107" t="str">
        <x:v>Automation</x:v>
      </x:c>
      <x:c r="H158" s="103" t="str">
        <x:v>Ethical Spending &amp; Local Enterprise — Express household values through work, purchasing, entrepreneurship, and local economic participation.</x:v>
      </x:c>
      <x:c r="I158" s="103" t="str">
        <x:v>Ethical Spending &amp; Local Enterprise Automation</x:v>
      </x:c>
      <x:c r="J158" s="103" t="str">
        <x:v>Use recurring rules, integrations, recommendations, and predictive reminders for ethical spending &amp; local enterprise.</x:v>
      </x:c>
      <x:c r="K158" s="103" t="str">
        <x:v>ethical vendors; local businesses; family enterprise; fair work; donations; community spending</x:v>
      </x:c>
      <x:c r="L158" s="103" t="str">
        <x:v>Community Pack</x:v>
      </x:c>
      <x:c r="M158" s="103" t="str">
        <x:f>IF(B158&lt;='Unlock Map'!$B$11,"Enabled","Locked")</x:f>
        <x:v>Locked</x:v>
      </x:c>
    </x:row>
    <x:row r="159" ht="54" customHeight="1">
      <x:c r="A159" s="107" t="str">
        <x:v>S4-D2-E1</x:v>
      </x:c>
      <x:c r="B159" s="107" t="n">
        <x:v>4</x:v>
      </x:c>
      <x:c r="C159" s="107" t="str">
        <x:v>Expressing</x:v>
      </x:c>
      <x:c r="D159" s="107" t="n">
        <x:v>2</x:v>
      </x:c>
      <x:c r="E159" s="107" t="str">
        <x:v>Health &amp; Care</x:v>
      </x:c>
      <x:c r="F159" s="107" t="n">
        <x:v>1</x:v>
      </x:c>
      <x:c r="G159" s="107" t="str">
        <x:v>Records</x:v>
      </x:c>
      <x:c r="H159" s="103" t="str">
        <x:v>Community Health Participation — Contribute to healthier schools, neighborhoods, support groups, and care networks.</x:v>
      </x:c>
      <x:c r="I159" s="103" t="str">
        <x:v>Community Health Participation Register</x:v>
      </x:c>
      <x:c r="J159" s="103" t="str">
        <x:v>Capture and maintain health camps; blood donation; support groups; accessibility; caregiving circles; public-health events.</x:v>
      </x:c>
      <x:c r="K159" s="103" t="str">
        <x:v>health camps; blood donation; support groups; accessibility; caregiving circles; public-health events</x:v>
      </x:c>
      <x:c r="L159" s="103" t="str">
        <x:v>Community Pack</x:v>
      </x:c>
      <x:c r="M159" s="103" t="str">
        <x:f>IF(B159&lt;='Unlock Map'!$B$11,"Enabled","Locked")</x:f>
        <x:v>Locked</x:v>
      </x:c>
    </x:row>
    <x:row r="160" ht="54" customHeight="1">
      <x:c r="A160" s="107" t="str">
        <x:v>S4-D2-E2</x:v>
      </x:c>
      <x:c r="B160" s="107" t="n">
        <x:v>4</x:v>
      </x:c>
      <x:c r="C160" s="107" t="str">
        <x:v>Expressing</x:v>
      </x:c>
      <x:c r="D160" s="107" t="n">
        <x:v>2</x:v>
      </x:c>
      <x:c r="E160" s="107" t="str">
        <x:v>Health &amp; Care</x:v>
      </x:c>
      <x:c r="F160" s="107" t="n">
        <x:v>2</x:v>
      </x:c>
      <x:c r="G160" s="107" t="str">
        <x:v>Plans</x:v>
      </x:c>
      <x:c r="H160" s="103" t="str">
        <x:v>Community Health Participation — Contribute to healthier schools, neighborhoods, support groups, and care networks.</x:v>
      </x:c>
      <x:c r="I160" s="103" t="str">
        <x:v>Community Health Participation Plan</x:v>
      </x:c>
      <x:c r="J160" s="103" t="str">
        <x:v>Set goals, budgets, schedules, thresholds, scenarios, and priorities for community health participation.</x:v>
      </x:c>
      <x:c r="K160" s="103" t="str">
        <x:v>health camps; blood donation; support groups; accessibility; caregiving circles; public-health events</x:v>
      </x:c>
      <x:c r="L160" s="103" t="str">
        <x:v>Community Pack</x:v>
      </x:c>
      <x:c r="M160" s="103" t="str">
        <x:f>IF(B160&lt;='Unlock Map'!$B$11,"Enabled","Locked")</x:f>
        <x:v>Locked</x:v>
      </x:c>
    </x:row>
    <x:row r="161" ht="54" customHeight="1">
      <x:c r="A161" s="107" t="str">
        <x:v>S4-D2-E3</x:v>
      </x:c>
      <x:c r="B161" s="107" t="n">
        <x:v>4</x:v>
      </x:c>
      <x:c r="C161" s="107" t="str">
        <x:v>Expressing</x:v>
      </x:c>
      <x:c r="D161" s="107" t="n">
        <x:v>2</x:v>
      </x:c>
      <x:c r="E161" s="107" t="str">
        <x:v>Health &amp; Care</x:v>
      </x:c>
      <x:c r="F161" s="107" t="n">
        <x:v>3</x:v>
      </x:c>
      <x:c r="G161" s="107" t="str">
        <x:v>Actions</x:v>
      </x:c>
      <x:c r="H161" s="103" t="str">
        <x:v>Community Health Participation — Contribute to healthier schools, neighborhoods, support groups, and care networks.</x:v>
      </x:c>
      <x:c r="I161" s="103" t="str">
        <x:v>Community Health Participation Actions</x:v>
      </x:c>
      <x:c r="J161" s="103" t="str">
        <x:v>Turn the community health participation plan into owned tasks, routines, transactions, projects, and follow-ups.</x:v>
      </x:c>
      <x:c r="K161" s="103" t="str">
        <x:v>health camps; blood donation; support groups; accessibility; caregiving circles; public-health events</x:v>
      </x:c>
      <x:c r="L161" s="103" t="str">
        <x:v>Community Pack</x:v>
      </x:c>
      <x:c r="M161" s="103" t="str">
        <x:f>IF(B161&lt;='Unlock Map'!$B$11,"Enabled","Locked")</x:f>
        <x:v>Locked</x:v>
      </x:c>
    </x:row>
    <x:row r="162" ht="54" customHeight="1">
      <x:c r="A162" s="107" t="str">
        <x:v>S4-D2-E4</x:v>
      </x:c>
      <x:c r="B162" s="107" t="n">
        <x:v>4</x:v>
      </x:c>
      <x:c r="C162" s="107" t="str">
        <x:v>Expressing</x:v>
      </x:c>
      <x:c r="D162" s="107" t="n">
        <x:v>2</x:v>
      </x:c>
      <x:c r="E162" s="107" t="str">
        <x:v>Health &amp; Care</x:v>
      </x:c>
      <x:c r="F162" s="107" t="n">
        <x:v>4</x:v>
      </x:c>
      <x:c r="G162" s="107" t="str">
        <x:v>Collaboration</x:v>
      </x:c>
      <x:c r="H162" s="103" t="str">
        <x:v>Community Health Participation — Contribute to healthier schools, neighborhoods, support groups, and care networks.</x:v>
      </x:c>
      <x:c r="I162" s="103" t="str">
        <x:v>Community Health Participation Coordination</x:v>
      </x:c>
      <x:c r="J162" s="103" t="str">
        <x:v>Share roles, messages, approvals, handoffs, and appropriate external access for community health participation.</x:v>
      </x:c>
      <x:c r="K162" s="103" t="str">
        <x:v>health camps; blood donation; support groups; accessibility; caregiving circles; public-health events</x:v>
      </x:c>
      <x:c r="L162" s="103" t="str">
        <x:v>Community Pack</x:v>
      </x:c>
      <x:c r="M162" s="103" t="str">
        <x:f>IF(B162&lt;='Unlock Map'!$B$11,"Enabled","Locked")</x:f>
        <x:v>Locked</x:v>
      </x:c>
    </x:row>
    <x:row r="163" ht="54" customHeight="1">
      <x:c r="A163" s="107" t="str">
        <x:v>S4-D2-E5</x:v>
      </x:c>
      <x:c r="B163" s="107" t="n">
        <x:v>4</x:v>
      </x:c>
      <x:c r="C163" s="107" t="str">
        <x:v>Expressing</x:v>
      </x:c>
      <x:c r="D163" s="107" t="n">
        <x:v>2</x:v>
      </x:c>
      <x:c r="E163" s="107" t="str">
        <x:v>Health &amp; Care</x:v>
      </x:c>
      <x:c r="F163" s="107" t="n">
        <x:v>5</x:v>
      </x:c>
      <x:c r="G163" s="107" t="str">
        <x:v>Safeguards</x:v>
      </x:c>
      <x:c r="H163" s="103" t="str">
        <x:v>Community Health Participation — Contribute to healthier schools, neighborhoods, support groups, and care networks.</x:v>
      </x:c>
      <x:c r="I163" s="103" t="str">
        <x:v>Community Health Participation Controls</x:v>
      </x:c>
      <x:c r="J163" s="103" t="str">
        <x:v>Apply permissions, limits, alerts, evidence, contingency rules, and exception handling to community health participation.</x:v>
      </x:c>
      <x:c r="K163" s="103" t="str">
        <x:v>health camps; blood donation; support groups; accessibility; caregiving circles; public-health events</x:v>
      </x:c>
      <x:c r="L163" s="103" t="str">
        <x:v>Community Pack</x:v>
      </x:c>
      <x:c r="M163" s="103" t="str">
        <x:f>IF(B163&lt;='Unlock Map'!$B$11,"Enabled","Locked")</x:f>
        <x:v>Locked</x:v>
      </x:c>
    </x:row>
    <x:row r="164" ht="54" customHeight="1">
      <x:c r="A164" s="107" t="str">
        <x:v>S4-D2-E6</x:v>
      </x:c>
      <x:c r="B164" s="107" t="n">
        <x:v>4</x:v>
      </x:c>
      <x:c r="C164" s="107" t="str">
        <x:v>Expressing</x:v>
      </x:c>
      <x:c r="D164" s="107" t="n">
        <x:v>2</x:v>
      </x:c>
      <x:c r="E164" s="107" t="str">
        <x:v>Health &amp; Care</x:v>
      </x:c>
      <x:c r="F164" s="107" t="n">
        <x:v>6</x:v>
      </x:c>
      <x:c r="G164" s="107" t="str">
        <x:v>Insights</x:v>
      </x:c>
      <x:c r="H164" s="103" t="str">
        <x:v>Community Health Participation — Contribute to healthier schools, neighborhoods, support groups, and care networks.</x:v>
      </x:c>
      <x:c r="I164" s="103" t="str">
        <x:v>Community Health Participation Review</x:v>
      </x:c>
      <x:c r="J164" s="103" t="str">
        <x:v>Show status, trends, gaps, risks, outcomes, and next decisions for community health participation.</x:v>
      </x:c>
      <x:c r="K164" s="103" t="str">
        <x:v>health camps; blood donation; support groups; accessibility; caregiving circles; public-health events</x:v>
      </x:c>
      <x:c r="L164" s="103" t="str">
        <x:v>Community Pack</x:v>
      </x:c>
      <x:c r="M164" s="103" t="str">
        <x:f>IF(B164&lt;='Unlock Map'!$B$11,"Enabled","Locked")</x:f>
        <x:v>Locked</x:v>
      </x:c>
    </x:row>
    <x:row r="165" ht="54" customHeight="1">
      <x:c r="A165" s="107" t="str">
        <x:v>S4-D2-E7</x:v>
      </x:c>
      <x:c r="B165" s="107" t="n">
        <x:v>4</x:v>
      </x:c>
      <x:c r="C165" s="107" t="str">
        <x:v>Expressing</x:v>
      </x:c>
      <x:c r="D165" s="107" t="n">
        <x:v>2</x:v>
      </x:c>
      <x:c r="E165" s="107" t="str">
        <x:v>Health &amp; Care</x:v>
      </x:c>
      <x:c r="F165" s="107" t="n">
        <x:v>7</x:v>
      </x:c>
      <x:c r="G165" s="107" t="str">
        <x:v>Automation</x:v>
      </x:c>
      <x:c r="H165" s="103" t="str">
        <x:v>Community Health Participation — Contribute to healthier schools, neighborhoods, support groups, and care networks.</x:v>
      </x:c>
      <x:c r="I165" s="103" t="str">
        <x:v>Community Health Participation Automation</x:v>
      </x:c>
      <x:c r="J165" s="103" t="str">
        <x:v>Use recurring rules, integrations, recommendations, and predictive reminders for community health participation.</x:v>
      </x:c>
      <x:c r="K165" s="103" t="str">
        <x:v>health camps; blood donation; support groups; accessibility; caregiving circles; public-health events</x:v>
      </x:c>
      <x:c r="L165" s="103" t="str">
        <x:v>Community Pack</x:v>
      </x:c>
      <x:c r="M165" s="103" t="str">
        <x:f>IF(B165&lt;='Unlock Map'!$B$11,"Enabled","Locked")</x:f>
        <x:v>Locked</x:v>
      </x:c>
    </x:row>
    <x:row r="166" ht="54" customHeight="1">
      <x:c r="A166" s="107" t="str">
        <x:v>S4-D3-E1</x:v>
      </x:c>
      <x:c r="B166" s="107" t="n">
        <x:v>4</x:v>
      </x:c>
      <x:c r="C166" s="107" t="str">
        <x:v>Expressing</x:v>
      </x:c>
      <x:c r="D166" s="107" t="n">
        <x:v>3</x:v>
      </x:c>
      <x:c r="E166" s="107" t="str">
        <x:v>Education, Skills &amp; Knowledge</x:v>
      </x:c>
      <x:c r="F166" s="107" t="n">
        <x:v>1</x:v>
      </x:c>
      <x:c r="G166" s="107" t="str">
        <x:v>Records</x:v>
      </x:c>
      <x:c r="H166" s="103" t="str">
        <x:v>Creative Work &amp; Knowledge Sharing — Publish, teach, perform, exhibit, or share knowledge and family creativity.</x:v>
      </x:c>
      <x:c r="I166" s="103" t="str">
        <x:v>Creative Work &amp; Knowledge Sharing Register</x:v>
      </x:c>
      <x:c r="J166" s="103" t="str">
        <x:v>Capture and maintain writing; art; music; workshops; clubs; publications; exhibitions; open resources.</x:v>
      </x:c>
      <x:c r="K166" s="103" t="str">
        <x:v>writing; art; music; workshops; clubs; publications; exhibitions; open resources</x:v>
      </x:c>
      <x:c r="L166" s="103" t="str">
        <x:v>Community Pack</x:v>
      </x:c>
      <x:c r="M166" s="103" t="str">
        <x:f>IF(B166&lt;='Unlock Map'!$B$11,"Enabled","Locked")</x:f>
        <x:v>Locked</x:v>
      </x:c>
    </x:row>
    <x:row r="167" ht="54" customHeight="1">
      <x:c r="A167" s="107" t="str">
        <x:v>S4-D3-E2</x:v>
      </x:c>
      <x:c r="B167" s="107" t="n">
        <x:v>4</x:v>
      </x:c>
      <x:c r="C167" s="107" t="str">
        <x:v>Expressing</x:v>
      </x:c>
      <x:c r="D167" s="107" t="n">
        <x:v>3</x:v>
      </x:c>
      <x:c r="E167" s="107" t="str">
        <x:v>Education, Skills &amp; Knowledge</x:v>
      </x:c>
      <x:c r="F167" s="107" t="n">
        <x:v>2</x:v>
      </x:c>
      <x:c r="G167" s="107" t="str">
        <x:v>Plans</x:v>
      </x:c>
      <x:c r="H167" s="103" t="str">
        <x:v>Creative Work &amp; Knowledge Sharing — Publish, teach, perform, exhibit, or share knowledge and family creativity.</x:v>
      </x:c>
      <x:c r="I167" s="103" t="str">
        <x:v>Creative Work &amp; Knowledge Sharing Plan</x:v>
      </x:c>
      <x:c r="J167" s="103" t="str">
        <x:v>Set goals, budgets, schedules, thresholds, scenarios, and priorities for creative work &amp; knowledge sharing.</x:v>
      </x:c>
      <x:c r="K167" s="103" t="str">
        <x:v>writing; art; music; workshops; clubs; publications; exhibitions; open resources</x:v>
      </x:c>
      <x:c r="L167" s="103" t="str">
        <x:v>Community Pack</x:v>
      </x:c>
      <x:c r="M167" s="103" t="str">
        <x:f>IF(B167&lt;='Unlock Map'!$B$11,"Enabled","Locked")</x:f>
        <x:v>Locked</x:v>
      </x:c>
    </x:row>
    <x:row r="168" ht="54" customHeight="1">
      <x:c r="A168" s="107" t="str">
        <x:v>S4-D3-E3</x:v>
      </x:c>
      <x:c r="B168" s="107" t="n">
        <x:v>4</x:v>
      </x:c>
      <x:c r="C168" s="107" t="str">
        <x:v>Expressing</x:v>
      </x:c>
      <x:c r="D168" s="107" t="n">
        <x:v>3</x:v>
      </x:c>
      <x:c r="E168" s="107" t="str">
        <x:v>Education, Skills &amp; Knowledge</x:v>
      </x:c>
      <x:c r="F168" s="107" t="n">
        <x:v>3</x:v>
      </x:c>
      <x:c r="G168" s="107" t="str">
        <x:v>Actions</x:v>
      </x:c>
      <x:c r="H168" s="103" t="str">
        <x:v>Creative Work &amp; Knowledge Sharing — Publish, teach, perform, exhibit, or share knowledge and family creativity.</x:v>
      </x:c>
      <x:c r="I168" s="103" t="str">
        <x:v>Creative Work &amp; Knowledge Sharing Actions</x:v>
      </x:c>
      <x:c r="J168" s="103" t="str">
        <x:v>Turn the creative work &amp; knowledge sharing plan into owned tasks, routines, transactions, projects, and follow-ups.</x:v>
      </x:c>
      <x:c r="K168" s="103" t="str">
        <x:v>writing; art; music; workshops; clubs; publications; exhibitions; open resources</x:v>
      </x:c>
      <x:c r="L168" s="103" t="str">
        <x:v>Community Pack</x:v>
      </x:c>
      <x:c r="M168" s="103" t="str">
        <x:f>IF(B168&lt;='Unlock Map'!$B$11,"Enabled","Locked")</x:f>
        <x:v>Locked</x:v>
      </x:c>
    </x:row>
    <x:row r="169" ht="54" customHeight="1">
      <x:c r="A169" s="107" t="str">
        <x:v>S4-D3-E4</x:v>
      </x:c>
      <x:c r="B169" s="107" t="n">
        <x:v>4</x:v>
      </x:c>
      <x:c r="C169" s="107" t="str">
        <x:v>Expressing</x:v>
      </x:c>
      <x:c r="D169" s="107" t="n">
        <x:v>3</x:v>
      </x:c>
      <x:c r="E169" s="107" t="str">
        <x:v>Education, Skills &amp; Knowledge</x:v>
      </x:c>
      <x:c r="F169" s="107" t="n">
        <x:v>4</x:v>
      </x:c>
      <x:c r="G169" s="107" t="str">
        <x:v>Collaboration</x:v>
      </x:c>
      <x:c r="H169" s="103" t="str">
        <x:v>Creative Work &amp; Knowledge Sharing — Publish, teach, perform, exhibit, or share knowledge and family creativity.</x:v>
      </x:c>
      <x:c r="I169" s="103" t="str">
        <x:v>Creative Work &amp; Knowledge Sharing Coordination</x:v>
      </x:c>
      <x:c r="J169" s="103" t="str">
        <x:v>Share roles, messages, approvals, handoffs, and appropriate external access for creative work &amp; knowledge sharing.</x:v>
      </x:c>
      <x:c r="K169" s="103" t="str">
        <x:v>writing; art; music; workshops; clubs; publications; exhibitions; open resources</x:v>
      </x:c>
      <x:c r="L169" s="103" t="str">
        <x:v>Community Pack</x:v>
      </x:c>
      <x:c r="M169" s="103" t="str">
        <x:f>IF(B169&lt;='Unlock Map'!$B$11,"Enabled","Locked")</x:f>
        <x:v>Locked</x:v>
      </x:c>
    </x:row>
    <x:row r="170" ht="54" customHeight="1">
      <x:c r="A170" s="107" t="str">
        <x:v>S4-D3-E5</x:v>
      </x:c>
      <x:c r="B170" s="107" t="n">
        <x:v>4</x:v>
      </x:c>
      <x:c r="C170" s="107" t="str">
        <x:v>Expressing</x:v>
      </x:c>
      <x:c r="D170" s="107" t="n">
        <x:v>3</x:v>
      </x:c>
      <x:c r="E170" s="107" t="str">
        <x:v>Education, Skills &amp; Knowledge</x:v>
      </x:c>
      <x:c r="F170" s="107" t="n">
        <x:v>5</x:v>
      </x:c>
      <x:c r="G170" s="107" t="str">
        <x:v>Safeguards</x:v>
      </x:c>
      <x:c r="H170" s="103" t="str">
        <x:v>Creative Work &amp; Knowledge Sharing — Publish, teach, perform, exhibit, or share knowledge and family creativity.</x:v>
      </x:c>
      <x:c r="I170" s="103" t="str">
        <x:v>Creative Work &amp; Knowledge Sharing Controls</x:v>
      </x:c>
      <x:c r="J170" s="103" t="str">
        <x:v>Apply permissions, limits, alerts, evidence, contingency rules, and exception handling to creative work &amp; knowledge sharing.</x:v>
      </x:c>
      <x:c r="K170" s="103" t="str">
        <x:v>writing; art; music; workshops; clubs; publications; exhibitions; open resources</x:v>
      </x:c>
      <x:c r="L170" s="103" t="str">
        <x:v>Community Pack</x:v>
      </x:c>
      <x:c r="M170" s="103" t="str">
        <x:f>IF(B170&lt;='Unlock Map'!$B$11,"Enabled","Locked")</x:f>
        <x:v>Locked</x:v>
      </x:c>
    </x:row>
    <x:row r="171" ht="54" customHeight="1">
      <x:c r="A171" s="107" t="str">
        <x:v>S4-D3-E6</x:v>
      </x:c>
      <x:c r="B171" s="107" t="n">
        <x:v>4</x:v>
      </x:c>
      <x:c r="C171" s="107" t="str">
        <x:v>Expressing</x:v>
      </x:c>
      <x:c r="D171" s="107" t="n">
        <x:v>3</x:v>
      </x:c>
      <x:c r="E171" s="107" t="str">
        <x:v>Education, Skills &amp; Knowledge</x:v>
      </x:c>
      <x:c r="F171" s="107" t="n">
        <x:v>6</x:v>
      </x:c>
      <x:c r="G171" s="107" t="str">
        <x:v>Insights</x:v>
      </x:c>
      <x:c r="H171" s="103" t="str">
        <x:v>Creative Work &amp; Knowledge Sharing — Publish, teach, perform, exhibit, or share knowledge and family creativity.</x:v>
      </x:c>
      <x:c r="I171" s="103" t="str">
        <x:v>Creative Work &amp; Knowledge Sharing Review</x:v>
      </x:c>
      <x:c r="J171" s="103" t="str">
        <x:v>Show status, trends, gaps, risks, outcomes, and next decisions for creative work &amp; knowledge sharing.</x:v>
      </x:c>
      <x:c r="K171" s="103" t="str">
        <x:v>writing; art; music; workshops; clubs; publications; exhibitions; open resources</x:v>
      </x:c>
      <x:c r="L171" s="103" t="str">
        <x:v>Community Pack</x:v>
      </x:c>
      <x:c r="M171" s="103" t="str">
        <x:f>IF(B171&lt;='Unlock Map'!$B$11,"Enabled","Locked")</x:f>
        <x:v>Locked</x:v>
      </x:c>
    </x:row>
    <x:row r="172" ht="54" customHeight="1">
      <x:c r="A172" s="107" t="str">
        <x:v>S4-D3-E7</x:v>
      </x:c>
      <x:c r="B172" s="107" t="n">
        <x:v>4</x:v>
      </x:c>
      <x:c r="C172" s="107" t="str">
        <x:v>Expressing</x:v>
      </x:c>
      <x:c r="D172" s="107" t="n">
        <x:v>3</x:v>
      </x:c>
      <x:c r="E172" s="107" t="str">
        <x:v>Education, Skills &amp; Knowledge</x:v>
      </x:c>
      <x:c r="F172" s="107" t="n">
        <x:v>7</x:v>
      </x:c>
      <x:c r="G172" s="107" t="str">
        <x:v>Automation</x:v>
      </x:c>
      <x:c r="H172" s="103" t="str">
        <x:v>Creative Work &amp; Knowledge Sharing — Publish, teach, perform, exhibit, or share knowledge and family creativity.</x:v>
      </x:c>
      <x:c r="I172" s="103" t="str">
        <x:v>Creative Work &amp; Knowledge Sharing Automation</x:v>
      </x:c>
      <x:c r="J172" s="103" t="str">
        <x:v>Use recurring rules, integrations, recommendations, and predictive reminders for creative work &amp; knowledge sharing.</x:v>
      </x:c>
      <x:c r="K172" s="103" t="str">
        <x:v>writing; art; music; workshops; clubs; publications; exhibitions; open resources</x:v>
      </x:c>
      <x:c r="L172" s="103" t="str">
        <x:v>Community Pack</x:v>
      </x:c>
      <x:c r="M172" s="103" t="str">
        <x:f>IF(B172&lt;='Unlock Map'!$B$11,"Enabled","Locked")</x:f>
        <x:v>Locked</x:v>
      </x:c>
    </x:row>
    <x:row r="173" ht="54" customHeight="1">
      <x:c r="A173" s="107" t="str">
        <x:v>S4-D4-E1</x:v>
      </x:c>
      <x:c r="B173" s="107" t="n">
        <x:v>4</x:v>
      </x:c>
      <x:c r="C173" s="107" t="str">
        <x:v>Expressing</x:v>
      </x:c>
      <x:c r="D173" s="107" t="n">
        <x:v>4</x:v>
      </x:c>
      <x:c r="E173" s="107" t="str">
        <x:v>Home, Utilities &amp; Assets</x:v>
      </x:c>
      <x:c r="F173" s="107" t="n">
        <x:v>1</x:v>
      </x:c>
      <x:c r="G173" s="107" t="str">
        <x:v>Records</x:v>
      </x:c>
      <x:c r="H173" s="103" t="str">
        <x:v>Hospitable &amp; Connected Home — Use the home responsibly as a place for welcome, culture, dialogue, and mutual support.</x:v>
      </x:c>
      <x:c r="I173" s="103" t="str">
        <x:v>Hospitable &amp; Connected Home Register</x:v>
      </x:c>
      <x:c r="J173" s="103" t="str">
        <x:v>Capture and maintain guests; gatherings; shared spaces; accessibility; hosting plans; neighborhood resources.</x:v>
      </x:c>
      <x:c r="K173" s="103" t="str">
        <x:v>guests; gatherings; shared spaces; accessibility; hosting plans; neighborhood resources</x:v>
      </x:c>
      <x:c r="L173" s="103" t="str">
        <x:v>Community Pack</x:v>
      </x:c>
      <x:c r="M173" s="103" t="str">
        <x:f>IF(B173&lt;='Unlock Map'!$B$11,"Enabled","Locked")</x:f>
        <x:v>Locked</x:v>
      </x:c>
    </x:row>
    <x:row r="174" ht="54" customHeight="1">
      <x:c r="A174" s="107" t="str">
        <x:v>S4-D4-E2</x:v>
      </x:c>
      <x:c r="B174" s="107" t="n">
        <x:v>4</x:v>
      </x:c>
      <x:c r="C174" s="107" t="str">
        <x:v>Expressing</x:v>
      </x:c>
      <x:c r="D174" s="107" t="n">
        <x:v>4</x:v>
      </x:c>
      <x:c r="E174" s="107" t="str">
        <x:v>Home, Utilities &amp; Assets</x:v>
      </x:c>
      <x:c r="F174" s="107" t="n">
        <x:v>2</x:v>
      </x:c>
      <x:c r="G174" s="107" t="str">
        <x:v>Plans</x:v>
      </x:c>
      <x:c r="H174" s="103" t="str">
        <x:v>Hospitable &amp; Connected Home — Use the home responsibly as a place for welcome, culture, dialogue, and mutual support.</x:v>
      </x:c>
      <x:c r="I174" s="103" t="str">
        <x:v>Hospitable &amp; Connected Home Plan</x:v>
      </x:c>
      <x:c r="J174" s="103" t="str">
        <x:v>Set goals, budgets, schedules, thresholds, scenarios, and priorities for hospitable &amp; connected home.</x:v>
      </x:c>
      <x:c r="K174" s="103" t="str">
        <x:v>guests; gatherings; shared spaces; accessibility; hosting plans; neighborhood resources</x:v>
      </x:c>
      <x:c r="L174" s="103" t="str">
        <x:v>Community Pack</x:v>
      </x:c>
      <x:c r="M174" s="103" t="str">
        <x:f>IF(B174&lt;='Unlock Map'!$B$11,"Enabled","Locked")</x:f>
        <x:v>Locked</x:v>
      </x:c>
    </x:row>
    <x:row r="175" ht="54" customHeight="1">
      <x:c r="A175" s="107" t="str">
        <x:v>S4-D4-E3</x:v>
      </x:c>
      <x:c r="B175" s="107" t="n">
        <x:v>4</x:v>
      </x:c>
      <x:c r="C175" s="107" t="str">
        <x:v>Expressing</x:v>
      </x:c>
      <x:c r="D175" s="107" t="n">
        <x:v>4</x:v>
      </x:c>
      <x:c r="E175" s="107" t="str">
        <x:v>Home, Utilities &amp; Assets</x:v>
      </x:c>
      <x:c r="F175" s="107" t="n">
        <x:v>3</x:v>
      </x:c>
      <x:c r="G175" s="107" t="str">
        <x:v>Actions</x:v>
      </x:c>
      <x:c r="H175" s="103" t="str">
        <x:v>Hospitable &amp; Connected Home — Use the home responsibly as a place for welcome, culture, dialogue, and mutual support.</x:v>
      </x:c>
      <x:c r="I175" s="103" t="str">
        <x:v>Hospitable &amp; Connected Home Actions</x:v>
      </x:c>
      <x:c r="J175" s="103" t="str">
        <x:v>Turn the hospitable &amp; connected home plan into owned tasks, routines, transactions, projects, and follow-ups.</x:v>
      </x:c>
      <x:c r="K175" s="103" t="str">
        <x:v>guests; gatherings; shared spaces; accessibility; hosting plans; neighborhood resources</x:v>
      </x:c>
      <x:c r="L175" s="103" t="str">
        <x:v>Community Pack</x:v>
      </x:c>
      <x:c r="M175" s="103" t="str">
        <x:f>IF(B175&lt;='Unlock Map'!$B$11,"Enabled","Locked")</x:f>
        <x:v>Locked</x:v>
      </x:c>
    </x:row>
    <x:row r="176" ht="54" customHeight="1">
      <x:c r="A176" s="107" t="str">
        <x:v>S4-D4-E4</x:v>
      </x:c>
      <x:c r="B176" s="107" t="n">
        <x:v>4</x:v>
      </x:c>
      <x:c r="C176" s="107" t="str">
        <x:v>Expressing</x:v>
      </x:c>
      <x:c r="D176" s="107" t="n">
        <x:v>4</x:v>
      </x:c>
      <x:c r="E176" s="107" t="str">
        <x:v>Home, Utilities &amp; Assets</x:v>
      </x:c>
      <x:c r="F176" s="107" t="n">
        <x:v>4</x:v>
      </x:c>
      <x:c r="G176" s="107" t="str">
        <x:v>Collaboration</x:v>
      </x:c>
      <x:c r="H176" s="103" t="str">
        <x:v>Hospitable &amp; Connected Home — Use the home responsibly as a place for welcome, culture, dialogue, and mutual support.</x:v>
      </x:c>
      <x:c r="I176" s="103" t="str">
        <x:v>Hospitable &amp; Connected Home Coordination</x:v>
      </x:c>
      <x:c r="J176" s="103" t="str">
        <x:v>Share roles, messages, approvals, handoffs, and appropriate external access for hospitable &amp; connected home.</x:v>
      </x:c>
      <x:c r="K176" s="103" t="str">
        <x:v>guests; gatherings; shared spaces; accessibility; hosting plans; neighborhood resources</x:v>
      </x:c>
      <x:c r="L176" s="103" t="str">
        <x:v>Community Pack</x:v>
      </x:c>
      <x:c r="M176" s="103" t="str">
        <x:f>IF(B176&lt;='Unlock Map'!$B$11,"Enabled","Locked")</x:f>
        <x:v>Locked</x:v>
      </x:c>
    </x:row>
    <x:row r="177" ht="54" customHeight="1">
      <x:c r="A177" s="107" t="str">
        <x:v>S4-D4-E5</x:v>
      </x:c>
      <x:c r="B177" s="107" t="n">
        <x:v>4</x:v>
      </x:c>
      <x:c r="C177" s="107" t="str">
        <x:v>Expressing</x:v>
      </x:c>
      <x:c r="D177" s="107" t="n">
        <x:v>4</x:v>
      </x:c>
      <x:c r="E177" s="107" t="str">
        <x:v>Home, Utilities &amp; Assets</x:v>
      </x:c>
      <x:c r="F177" s="107" t="n">
        <x:v>5</x:v>
      </x:c>
      <x:c r="G177" s="107" t="str">
        <x:v>Safeguards</x:v>
      </x:c>
      <x:c r="H177" s="103" t="str">
        <x:v>Hospitable &amp; Connected Home — Use the home responsibly as a place for welcome, culture, dialogue, and mutual support.</x:v>
      </x:c>
      <x:c r="I177" s="103" t="str">
        <x:v>Hospitable &amp; Connected Home Controls</x:v>
      </x:c>
      <x:c r="J177" s="103" t="str">
        <x:v>Apply permissions, limits, alerts, evidence, contingency rules, and exception handling to hospitable &amp; connected home.</x:v>
      </x:c>
      <x:c r="K177" s="103" t="str">
        <x:v>guests; gatherings; shared spaces; accessibility; hosting plans; neighborhood resources</x:v>
      </x:c>
      <x:c r="L177" s="103" t="str">
        <x:v>Community Pack</x:v>
      </x:c>
      <x:c r="M177" s="103" t="str">
        <x:f>IF(B177&lt;='Unlock Map'!$B$11,"Enabled","Locked")</x:f>
        <x:v>Locked</x:v>
      </x:c>
    </x:row>
    <x:row r="178" ht="54" customHeight="1">
      <x:c r="A178" s="107" t="str">
        <x:v>S4-D4-E6</x:v>
      </x:c>
      <x:c r="B178" s="107" t="n">
        <x:v>4</x:v>
      </x:c>
      <x:c r="C178" s="107" t="str">
        <x:v>Expressing</x:v>
      </x:c>
      <x:c r="D178" s="107" t="n">
        <x:v>4</x:v>
      </x:c>
      <x:c r="E178" s="107" t="str">
        <x:v>Home, Utilities &amp; Assets</x:v>
      </x:c>
      <x:c r="F178" s="107" t="n">
        <x:v>6</x:v>
      </x:c>
      <x:c r="G178" s="107" t="str">
        <x:v>Insights</x:v>
      </x:c>
      <x:c r="H178" s="103" t="str">
        <x:v>Hospitable &amp; Connected Home — Use the home responsibly as a place for welcome, culture, dialogue, and mutual support.</x:v>
      </x:c>
      <x:c r="I178" s="103" t="str">
        <x:v>Hospitable &amp; Connected Home Review</x:v>
      </x:c>
      <x:c r="J178" s="103" t="str">
        <x:v>Show status, trends, gaps, risks, outcomes, and next decisions for hospitable &amp; connected home.</x:v>
      </x:c>
      <x:c r="K178" s="103" t="str">
        <x:v>guests; gatherings; shared spaces; accessibility; hosting plans; neighborhood resources</x:v>
      </x:c>
      <x:c r="L178" s="103" t="str">
        <x:v>Community Pack</x:v>
      </x:c>
      <x:c r="M178" s="103" t="str">
        <x:f>IF(B178&lt;='Unlock Map'!$B$11,"Enabled","Locked")</x:f>
        <x:v>Locked</x:v>
      </x:c>
    </x:row>
    <x:row r="179" ht="54" customHeight="1">
      <x:c r="A179" s="107" t="str">
        <x:v>S4-D4-E7</x:v>
      </x:c>
      <x:c r="B179" s="107" t="n">
        <x:v>4</x:v>
      </x:c>
      <x:c r="C179" s="107" t="str">
        <x:v>Expressing</x:v>
      </x:c>
      <x:c r="D179" s="107" t="n">
        <x:v>4</x:v>
      </x:c>
      <x:c r="E179" s="107" t="str">
        <x:v>Home, Utilities &amp; Assets</x:v>
      </x:c>
      <x:c r="F179" s="107" t="n">
        <x:v>7</x:v>
      </x:c>
      <x:c r="G179" s="107" t="str">
        <x:v>Automation</x:v>
      </x:c>
      <x:c r="H179" s="103" t="str">
        <x:v>Hospitable &amp; Connected Home — Use the home responsibly as a place for welcome, culture, dialogue, and mutual support.</x:v>
      </x:c>
      <x:c r="I179" s="103" t="str">
        <x:v>Hospitable &amp; Connected Home Automation</x:v>
      </x:c>
      <x:c r="J179" s="103" t="str">
        <x:v>Use recurring rules, integrations, recommendations, and predictive reminders for hospitable &amp; connected home.</x:v>
      </x:c>
      <x:c r="K179" s="103" t="str">
        <x:v>guests; gatherings; shared spaces; accessibility; hosting plans; neighborhood resources</x:v>
      </x:c>
      <x:c r="L179" s="103" t="str">
        <x:v>Community Pack</x:v>
      </x:c>
      <x:c r="M179" s="103" t="str">
        <x:f>IF(B179&lt;='Unlock Map'!$B$11,"Enabled","Locked")</x:f>
        <x:v>Locked</x:v>
      </x:c>
    </x:row>
    <x:row r="180" ht="54" customHeight="1">
      <x:c r="A180" s="107" t="str">
        <x:v>S4-D5-E1</x:v>
      </x:c>
      <x:c r="B180" s="107" t="n">
        <x:v>4</x:v>
      </x:c>
      <x:c r="C180" s="107" t="str">
        <x:v>Expressing</x:v>
      </x:c>
      <x:c r="D180" s="107" t="n">
        <x:v>5</x:v>
      </x:c>
      <x:c r="E180" s="107" t="str">
        <x:v>Food, Time &amp; Daily Operations</x:v>
      </x:c>
      <x:c r="F180" s="107" t="n">
        <x:v>1</x:v>
      </x:c>
      <x:c r="G180" s="107" t="str">
        <x:v>Records</x:v>
      </x:c>
      <x:c r="H180" s="103" t="str">
        <x:v>Volunteering &amp; Civic Calendar — Make recurring time for service, public events, local institutions, and collective action.</x:v>
      </x:c>
      <x:c r="I180" s="103" t="str">
        <x:v>Volunteering &amp; Civic Calendar Register</x:v>
      </x:c>
      <x:c r="J180" s="103" t="str">
        <x:v>Capture and maintain volunteer shifts; civic events; community tasks; service hours; transport; commitments.</x:v>
      </x:c>
      <x:c r="K180" s="103" t="str">
        <x:v>volunteer shifts; civic events; community tasks; service hours; transport; commitments</x:v>
      </x:c>
      <x:c r="L180" s="103" t="str">
        <x:v>Community Pack</x:v>
      </x:c>
      <x:c r="M180" s="103" t="str">
        <x:f>IF(B180&lt;='Unlock Map'!$B$11,"Enabled","Locked")</x:f>
        <x:v>Locked</x:v>
      </x:c>
    </x:row>
    <x:row r="181" ht="54" customHeight="1">
      <x:c r="A181" s="107" t="str">
        <x:v>S4-D5-E2</x:v>
      </x:c>
      <x:c r="B181" s="107" t="n">
        <x:v>4</x:v>
      </x:c>
      <x:c r="C181" s="107" t="str">
        <x:v>Expressing</x:v>
      </x:c>
      <x:c r="D181" s="107" t="n">
        <x:v>5</x:v>
      </x:c>
      <x:c r="E181" s="107" t="str">
        <x:v>Food, Time &amp; Daily Operations</x:v>
      </x:c>
      <x:c r="F181" s="107" t="n">
        <x:v>2</x:v>
      </x:c>
      <x:c r="G181" s="107" t="str">
        <x:v>Plans</x:v>
      </x:c>
      <x:c r="H181" s="103" t="str">
        <x:v>Volunteering &amp; Civic Calendar — Make recurring time for service, public events, local institutions, and collective action.</x:v>
      </x:c>
      <x:c r="I181" s="103" t="str">
        <x:v>Volunteering &amp; Civic Calendar Plan</x:v>
      </x:c>
      <x:c r="J181" s="103" t="str">
        <x:v>Set goals, budgets, schedules, thresholds, scenarios, and priorities for volunteering &amp; civic calendar.</x:v>
      </x:c>
      <x:c r="K181" s="103" t="str">
        <x:v>volunteer shifts; civic events; community tasks; service hours; transport; commitments</x:v>
      </x:c>
      <x:c r="L181" s="103" t="str">
        <x:v>Community Pack</x:v>
      </x:c>
      <x:c r="M181" s="103" t="str">
        <x:f>IF(B181&lt;='Unlock Map'!$B$11,"Enabled","Locked")</x:f>
        <x:v>Locked</x:v>
      </x:c>
    </x:row>
    <x:row r="182" ht="54" customHeight="1">
      <x:c r="A182" s="107" t="str">
        <x:v>S4-D5-E3</x:v>
      </x:c>
      <x:c r="B182" s="107" t="n">
        <x:v>4</x:v>
      </x:c>
      <x:c r="C182" s="107" t="str">
        <x:v>Expressing</x:v>
      </x:c>
      <x:c r="D182" s="107" t="n">
        <x:v>5</x:v>
      </x:c>
      <x:c r="E182" s="107" t="str">
        <x:v>Food, Time &amp; Daily Operations</x:v>
      </x:c>
      <x:c r="F182" s="107" t="n">
        <x:v>3</x:v>
      </x:c>
      <x:c r="G182" s="107" t="str">
        <x:v>Actions</x:v>
      </x:c>
      <x:c r="H182" s="103" t="str">
        <x:v>Volunteering &amp; Civic Calendar — Make recurring time for service, public events, local institutions, and collective action.</x:v>
      </x:c>
      <x:c r="I182" s="103" t="str">
        <x:v>Volunteering &amp; Civic Calendar Actions</x:v>
      </x:c>
      <x:c r="J182" s="103" t="str">
        <x:v>Turn the volunteering &amp; civic calendar plan into owned tasks, routines, transactions, projects, and follow-ups.</x:v>
      </x:c>
      <x:c r="K182" s="103" t="str">
        <x:v>volunteer shifts; civic events; community tasks; service hours; transport; commitments</x:v>
      </x:c>
      <x:c r="L182" s="103" t="str">
        <x:v>Community Pack</x:v>
      </x:c>
      <x:c r="M182" s="103" t="str">
        <x:f>IF(B182&lt;='Unlock Map'!$B$11,"Enabled","Locked")</x:f>
        <x:v>Locked</x:v>
      </x:c>
    </x:row>
    <x:row r="183" ht="54" customHeight="1">
      <x:c r="A183" s="107" t="str">
        <x:v>S4-D5-E4</x:v>
      </x:c>
      <x:c r="B183" s="107" t="n">
        <x:v>4</x:v>
      </x:c>
      <x:c r="C183" s="107" t="str">
        <x:v>Expressing</x:v>
      </x:c>
      <x:c r="D183" s="107" t="n">
        <x:v>5</x:v>
      </x:c>
      <x:c r="E183" s="107" t="str">
        <x:v>Food, Time &amp; Daily Operations</x:v>
      </x:c>
      <x:c r="F183" s="107" t="n">
        <x:v>4</x:v>
      </x:c>
      <x:c r="G183" s="107" t="str">
        <x:v>Collaboration</x:v>
      </x:c>
      <x:c r="H183" s="103" t="str">
        <x:v>Volunteering &amp; Civic Calendar — Make recurring time for service, public events, local institutions, and collective action.</x:v>
      </x:c>
      <x:c r="I183" s="103" t="str">
        <x:v>Volunteering &amp; Civic Calendar Coordination</x:v>
      </x:c>
      <x:c r="J183" s="103" t="str">
        <x:v>Share roles, messages, approvals, handoffs, and appropriate external access for volunteering &amp; civic calendar.</x:v>
      </x:c>
      <x:c r="K183" s="103" t="str">
        <x:v>volunteer shifts; civic events; community tasks; service hours; transport; commitments</x:v>
      </x:c>
      <x:c r="L183" s="103" t="str">
        <x:v>Community Pack</x:v>
      </x:c>
      <x:c r="M183" s="103" t="str">
        <x:f>IF(B183&lt;='Unlock Map'!$B$11,"Enabled","Locked")</x:f>
        <x:v>Locked</x:v>
      </x:c>
    </x:row>
    <x:row r="184" ht="54" customHeight="1">
      <x:c r="A184" s="107" t="str">
        <x:v>S4-D5-E5</x:v>
      </x:c>
      <x:c r="B184" s="107" t="n">
        <x:v>4</x:v>
      </x:c>
      <x:c r="C184" s="107" t="str">
        <x:v>Expressing</x:v>
      </x:c>
      <x:c r="D184" s="107" t="n">
        <x:v>5</x:v>
      </x:c>
      <x:c r="E184" s="107" t="str">
        <x:v>Food, Time &amp; Daily Operations</x:v>
      </x:c>
      <x:c r="F184" s="107" t="n">
        <x:v>5</x:v>
      </x:c>
      <x:c r="G184" s="107" t="str">
        <x:v>Safeguards</x:v>
      </x:c>
      <x:c r="H184" s="103" t="str">
        <x:v>Volunteering &amp; Civic Calendar — Make recurring time for service, public events, local institutions, and collective action.</x:v>
      </x:c>
      <x:c r="I184" s="103" t="str">
        <x:v>Volunteering &amp; Civic Calendar Controls</x:v>
      </x:c>
      <x:c r="J184" s="103" t="str">
        <x:v>Apply permissions, limits, alerts, evidence, contingency rules, and exception handling to volunteering &amp; civic calendar.</x:v>
      </x:c>
      <x:c r="K184" s="103" t="str">
        <x:v>volunteer shifts; civic events; community tasks; service hours; transport; commitments</x:v>
      </x:c>
      <x:c r="L184" s="103" t="str">
        <x:v>Community Pack</x:v>
      </x:c>
      <x:c r="M184" s="103" t="str">
        <x:f>IF(B184&lt;='Unlock Map'!$B$11,"Enabled","Locked")</x:f>
        <x:v>Locked</x:v>
      </x:c>
    </x:row>
    <x:row r="185" ht="54" customHeight="1">
      <x:c r="A185" s="107" t="str">
        <x:v>S4-D5-E6</x:v>
      </x:c>
      <x:c r="B185" s="107" t="n">
        <x:v>4</x:v>
      </x:c>
      <x:c r="C185" s="107" t="str">
        <x:v>Expressing</x:v>
      </x:c>
      <x:c r="D185" s="107" t="n">
        <x:v>5</x:v>
      </x:c>
      <x:c r="E185" s="107" t="str">
        <x:v>Food, Time &amp; Daily Operations</x:v>
      </x:c>
      <x:c r="F185" s="107" t="n">
        <x:v>6</x:v>
      </x:c>
      <x:c r="G185" s="107" t="str">
        <x:v>Insights</x:v>
      </x:c>
      <x:c r="H185" s="103" t="str">
        <x:v>Volunteering &amp; Civic Calendar — Make recurring time for service, public events, local institutions, and collective action.</x:v>
      </x:c>
      <x:c r="I185" s="103" t="str">
        <x:v>Volunteering &amp; Civic Calendar Review</x:v>
      </x:c>
      <x:c r="J185" s="103" t="str">
        <x:v>Show status, trends, gaps, risks, outcomes, and next decisions for volunteering &amp; civic calendar.</x:v>
      </x:c>
      <x:c r="K185" s="103" t="str">
        <x:v>volunteer shifts; civic events; community tasks; service hours; transport; commitments</x:v>
      </x:c>
      <x:c r="L185" s="103" t="str">
        <x:v>Community Pack</x:v>
      </x:c>
      <x:c r="M185" s="103" t="str">
        <x:f>IF(B185&lt;='Unlock Map'!$B$11,"Enabled","Locked")</x:f>
        <x:v>Locked</x:v>
      </x:c>
    </x:row>
    <x:row r="186" ht="54" customHeight="1">
      <x:c r="A186" s="107" t="str">
        <x:v>S4-D5-E7</x:v>
      </x:c>
      <x:c r="B186" s="107" t="n">
        <x:v>4</x:v>
      </x:c>
      <x:c r="C186" s="107" t="str">
        <x:v>Expressing</x:v>
      </x:c>
      <x:c r="D186" s="107" t="n">
        <x:v>5</x:v>
      </x:c>
      <x:c r="E186" s="107" t="str">
        <x:v>Food, Time &amp; Daily Operations</x:v>
      </x:c>
      <x:c r="F186" s="107" t="n">
        <x:v>7</x:v>
      </x:c>
      <x:c r="G186" s="107" t="str">
        <x:v>Automation</x:v>
      </x:c>
      <x:c r="H186" s="103" t="str">
        <x:v>Volunteering &amp; Civic Calendar — Make recurring time for service, public events, local institutions, and collective action.</x:v>
      </x:c>
      <x:c r="I186" s="103" t="str">
        <x:v>Volunteering &amp; Civic Calendar Automation</x:v>
      </x:c>
      <x:c r="J186" s="103" t="str">
        <x:v>Use recurring rules, integrations, recommendations, and predictive reminders for volunteering &amp; civic calendar.</x:v>
      </x:c>
      <x:c r="K186" s="103" t="str">
        <x:v>volunteer shifts; civic events; community tasks; service hours; transport; commitments</x:v>
      </x:c>
      <x:c r="L186" s="103" t="str">
        <x:v>Community Pack</x:v>
      </x:c>
      <x:c r="M186" s="103" t="str">
        <x:f>IF(B186&lt;='Unlock Map'!$B$11,"Enabled","Locked")</x:f>
        <x:v>Locked</x:v>
      </x:c>
    </x:row>
    <x:row r="187" ht="54" customHeight="1">
      <x:c r="A187" s="107" t="str">
        <x:v>S4-D6-E1</x:v>
      </x:c>
      <x:c r="B187" s="107" t="n">
        <x:v>4</x:v>
      </x:c>
      <x:c r="C187" s="107" t="str">
        <x:v>Expressing</x:v>
      </x:c>
      <x:c r="D187" s="107" t="n">
        <x:v>6</x:v>
      </x:c>
      <x:c r="E187" s="107" t="str">
        <x:v>Family, Relationships &amp; Community</x:v>
      </x:c>
      <x:c r="F187" s="107" t="n">
        <x:v>1</x:v>
      </x:c>
      <x:c r="G187" s="107" t="str">
        <x:v>Records</x:v>
      </x:c>
      <x:c r="H187" s="103" t="str">
        <x:v>Community Relationships &amp; Culture — Build reciprocal relationships beyond the household while sustaining language, traditions, and belonging.</x:v>
      </x:c>
      <x:c r="I187" s="103" t="str">
        <x:v>Community Relationships &amp; Culture Register</x:v>
      </x:c>
      <x:c r="J187" s="103" t="str">
        <x:v>Capture and maintain neighbors; associations; cultural groups; mutual aid; festivals; community contacts; exchanges.</x:v>
      </x:c>
      <x:c r="K187" s="103" t="str">
        <x:v>neighbors; associations; cultural groups; mutual aid; festivals; community contacts; exchanges</x:v>
      </x:c>
      <x:c r="L187" s="103" t="str">
        <x:v>Community Pack</x:v>
      </x:c>
      <x:c r="M187" s="103" t="str">
        <x:f>IF(B187&lt;='Unlock Map'!$B$11,"Enabled","Locked")</x:f>
        <x:v>Locked</x:v>
      </x:c>
    </x:row>
    <x:row r="188" ht="54" customHeight="1">
      <x:c r="A188" s="107" t="str">
        <x:v>S4-D6-E2</x:v>
      </x:c>
      <x:c r="B188" s="107" t="n">
        <x:v>4</x:v>
      </x:c>
      <x:c r="C188" s="107" t="str">
        <x:v>Expressing</x:v>
      </x:c>
      <x:c r="D188" s="107" t="n">
        <x:v>6</x:v>
      </x:c>
      <x:c r="E188" s="107" t="str">
        <x:v>Family, Relationships &amp; Community</x:v>
      </x:c>
      <x:c r="F188" s="107" t="n">
        <x:v>2</x:v>
      </x:c>
      <x:c r="G188" s="107" t="str">
        <x:v>Plans</x:v>
      </x:c>
      <x:c r="H188" s="103" t="str">
        <x:v>Community Relationships &amp; Culture — Build reciprocal relationships beyond the household while sustaining language, traditions, and belonging.</x:v>
      </x:c>
      <x:c r="I188" s="103" t="str">
        <x:v>Community Relationships &amp; Culture Plan</x:v>
      </x:c>
      <x:c r="J188" s="103" t="str">
        <x:v>Set goals, budgets, schedules, thresholds, scenarios, and priorities for community relationships &amp; culture.</x:v>
      </x:c>
      <x:c r="K188" s="103" t="str">
        <x:v>neighbors; associations; cultural groups; mutual aid; festivals; community contacts; exchanges</x:v>
      </x:c>
      <x:c r="L188" s="103" t="str">
        <x:v>Community Pack</x:v>
      </x:c>
      <x:c r="M188" s="103" t="str">
        <x:f>IF(B188&lt;='Unlock Map'!$B$11,"Enabled","Locked")</x:f>
        <x:v>Locked</x:v>
      </x:c>
    </x:row>
    <x:row r="189" ht="54" customHeight="1">
      <x:c r="A189" s="107" t="str">
        <x:v>S4-D6-E3</x:v>
      </x:c>
      <x:c r="B189" s="107" t="n">
        <x:v>4</x:v>
      </x:c>
      <x:c r="C189" s="107" t="str">
        <x:v>Expressing</x:v>
      </x:c>
      <x:c r="D189" s="107" t="n">
        <x:v>6</x:v>
      </x:c>
      <x:c r="E189" s="107" t="str">
        <x:v>Family, Relationships &amp; Community</x:v>
      </x:c>
      <x:c r="F189" s="107" t="n">
        <x:v>3</x:v>
      </x:c>
      <x:c r="G189" s="107" t="str">
        <x:v>Actions</x:v>
      </x:c>
      <x:c r="H189" s="103" t="str">
        <x:v>Community Relationships &amp; Culture — Build reciprocal relationships beyond the household while sustaining language, traditions, and belonging.</x:v>
      </x:c>
      <x:c r="I189" s="103" t="str">
        <x:v>Community Relationships &amp; Culture Actions</x:v>
      </x:c>
      <x:c r="J189" s="103" t="str">
        <x:v>Turn the community relationships &amp; culture plan into owned tasks, routines, transactions, projects, and follow-ups.</x:v>
      </x:c>
      <x:c r="K189" s="103" t="str">
        <x:v>neighbors; associations; cultural groups; mutual aid; festivals; community contacts; exchanges</x:v>
      </x:c>
      <x:c r="L189" s="103" t="str">
        <x:v>Community Pack</x:v>
      </x:c>
      <x:c r="M189" s="103" t="str">
        <x:f>IF(B189&lt;='Unlock Map'!$B$11,"Enabled","Locked")</x:f>
        <x:v>Locked</x:v>
      </x:c>
    </x:row>
    <x:row r="190" ht="54" customHeight="1">
      <x:c r="A190" s="107" t="str">
        <x:v>S4-D6-E4</x:v>
      </x:c>
      <x:c r="B190" s="107" t="n">
        <x:v>4</x:v>
      </x:c>
      <x:c r="C190" s="107" t="str">
        <x:v>Expressing</x:v>
      </x:c>
      <x:c r="D190" s="107" t="n">
        <x:v>6</x:v>
      </x:c>
      <x:c r="E190" s="107" t="str">
        <x:v>Family, Relationships &amp; Community</x:v>
      </x:c>
      <x:c r="F190" s="107" t="n">
        <x:v>4</x:v>
      </x:c>
      <x:c r="G190" s="107" t="str">
        <x:v>Collaboration</x:v>
      </x:c>
      <x:c r="H190" s="103" t="str">
        <x:v>Community Relationships &amp; Culture — Build reciprocal relationships beyond the household while sustaining language, traditions, and belonging.</x:v>
      </x:c>
      <x:c r="I190" s="103" t="str">
        <x:v>Community Relationships &amp; Culture Coordination</x:v>
      </x:c>
      <x:c r="J190" s="103" t="str">
        <x:v>Share roles, messages, approvals, handoffs, and appropriate external access for community relationships &amp; culture.</x:v>
      </x:c>
      <x:c r="K190" s="103" t="str">
        <x:v>neighbors; associations; cultural groups; mutual aid; festivals; community contacts; exchanges</x:v>
      </x:c>
      <x:c r="L190" s="103" t="str">
        <x:v>Community Pack</x:v>
      </x:c>
      <x:c r="M190" s="103" t="str">
        <x:f>IF(B190&lt;='Unlock Map'!$B$11,"Enabled","Locked")</x:f>
        <x:v>Locked</x:v>
      </x:c>
    </x:row>
    <x:row r="191" ht="54" customHeight="1">
      <x:c r="A191" s="107" t="str">
        <x:v>S4-D6-E5</x:v>
      </x:c>
      <x:c r="B191" s="107" t="n">
        <x:v>4</x:v>
      </x:c>
      <x:c r="C191" s="107" t="str">
        <x:v>Expressing</x:v>
      </x:c>
      <x:c r="D191" s="107" t="n">
        <x:v>6</x:v>
      </x:c>
      <x:c r="E191" s="107" t="str">
        <x:v>Family, Relationships &amp; Community</x:v>
      </x:c>
      <x:c r="F191" s="107" t="n">
        <x:v>5</x:v>
      </x:c>
      <x:c r="G191" s="107" t="str">
        <x:v>Safeguards</x:v>
      </x:c>
      <x:c r="H191" s="103" t="str">
        <x:v>Community Relationships &amp; Culture — Build reciprocal relationships beyond the household while sustaining language, traditions, and belonging.</x:v>
      </x:c>
      <x:c r="I191" s="103" t="str">
        <x:v>Community Relationships &amp; Culture Controls</x:v>
      </x:c>
      <x:c r="J191" s="103" t="str">
        <x:v>Apply permissions, limits, alerts, evidence, contingency rules, and exception handling to community relationships &amp; culture.</x:v>
      </x:c>
      <x:c r="K191" s="103" t="str">
        <x:v>neighbors; associations; cultural groups; mutual aid; festivals; community contacts; exchanges</x:v>
      </x:c>
      <x:c r="L191" s="103" t="str">
        <x:v>Community Pack</x:v>
      </x:c>
      <x:c r="M191" s="103" t="str">
        <x:f>IF(B191&lt;='Unlock Map'!$B$11,"Enabled","Locked")</x:f>
        <x:v>Locked</x:v>
      </x:c>
    </x:row>
    <x:row r="192" ht="54" customHeight="1">
      <x:c r="A192" s="107" t="str">
        <x:v>S4-D6-E6</x:v>
      </x:c>
      <x:c r="B192" s="107" t="n">
        <x:v>4</x:v>
      </x:c>
      <x:c r="C192" s="107" t="str">
        <x:v>Expressing</x:v>
      </x:c>
      <x:c r="D192" s="107" t="n">
        <x:v>6</x:v>
      </x:c>
      <x:c r="E192" s="107" t="str">
        <x:v>Family, Relationships &amp; Community</x:v>
      </x:c>
      <x:c r="F192" s="107" t="n">
        <x:v>6</x:v>
      </x:c>
      <x:c r="G192" s="107" t="str">
        <x:v>Insights</x:v>
      </x:c>
      <x:c r="H192" s="103" t="str">
        <x:v>Community Relationships &amp; Culture — Build reciprocal relationships beyond the household while sustaining language, traditions, and belonging.</x:v>
      </x:c>
      <x:c r="I192" s="103" t="str">
        <x:v>Community Relationships &amp; Culture Review</x:v>
      </x:c>
      <x:c r="J192" s="103" t="str">
        <x:v>Show status, trends, gaps, risks, outcomes, and next decisions for community relationships &amp; culture.</x:v>
      </x:c>
      <x:c r="K192" s="103" t="str">
        <x:v>neighbors; associations; cultural groups; mutual aid; festivals; community contacts; exchanges</x:v>
      </x:c>
      <x:c r="L192" s="103" t="str">
        <x:v>Community Pack</x:v>
      </x:c>
      <x:c r="M192" s="103" t="str">
        <x:f>IF(B192&lt;='Unlock Map'!$B$11,"Enabled","Locked")</x:f>
        <x:v>Locked</x:v>
      </x:c>
    </x:row>
    <x:row r="193" ht="54" customHeight="1">
      <x:c r="A193" s="107" t="str">
        <x:v>S4-D6-E7</x:v>
      </x:c>
      <x:c r="B193" s="107" t="n">
        <x:v>4</x:v>
      </x:c>
      <x:c r="C193" s="107" t="str">
        <x:v>Expressing</x:v>
      </x:c>
      <x:c r="D193" s="107" t="n">
        <x:v>6</x:v>
      </x:c>
      <x:c r="E193" s="107" t="str">
        <x:v>Family, Relationships &amp; Community</x:v>
      </x:c>
      <x:c r="F193" s="107" t="n">
        <x:v>7</x:v>
      </x:c>
      <x:c r="G193" s="107" t="str">
        <x:v>Automation</x:v>
      </x:c>
      <x:c r="H193" s="103" t="str">
        <x:v>Community Relationships &amp; Culture — Build reciprocal relationships beyond the household while sustaining language, traditions, and belonging.</x:v>
      </x:c>
      <x:c r="I193" s="103" t="str">
        <x:v>Community Relationships &amp; Culture Automation</x:v>
      </x:c>
      <x:c r="J193" s="103" t="str">
        <x:v>Use recurring rules, integrations, recommendations, and predictive reminders for community relationships &amp; culture.</x:v>
      </x:c>
      <x:c r="K193" s="103" t="str">
        <x:v>neighbors; associations; cultural groups; mutual aid; festivals; community contacts; exchanges</x:v>
      </x:c>
      <x:c r="L193" s="103" t="str">
        <x:v>Community Pack</x:v>
      </x:c>
      <x:c r="M193" s="103" t="str">
        <x:f>IF(B193&lt;='Unlock Map'!$B$11,"Enabled","Locked")</x:f>
        <x:v>Locked</x:v>
      </x:c>
    </x:row>
    <x:row r="194" ht="54" customHeight="1">
      <x:c r="A194" s="107" t="str">
        <x:v>S4-D7-E1</x:v>
      </x:c>
      <x:c r="B194" s="107" t="n">
        <x:v>4</x:v>
      </x:c>
      <x:c r="C194" s="107" t="str">
        <x:v>Expressing</x:v>
      </x:c>
      <x:c r="D194" s="107" t="n">
        <x:v>7</x:v>
      </x:c>
      <x:c r="E194" s="107" t="str">
        <x:v>Safety, Legal &amp; Governance</x:v>
      </x:c>
      <x:c r="F194" s="107" t="n">
        <x:v>1</x:v>
      </x:c>
      <x:c r="G194" s="107" t="str">
        <x:v>Records</x:v>
      </x:c>
      <x:c r="H194" s="103" t="str">
        <x:v>Civic Rights &amp; Responsibilities — Understand and use lawful channels for participation, representation, feedback, and accountability.</x:v>
      </x:c>
      <x:c r="I194" s="103" t="str">
        <x:v>Civic Rights &amp; Responsibilities Register</x:v>
      </x:c>
      <x:c r="J194" s="103" t="str">
        <x:v>Capture and maintain voter and civic records; public services; petitions; meetings; complaints; consultations; permissions.</x:v>
      </x:c>
      <x:c r="K194" s="103" t="str">
        <x:v>voter and civic records; public services; petitions; meetings; complaints; consultations; permissions</x:v>
      </x:c>
      <x:c r="L194" s="103" t="str">
        <x:v>Community Pack</x:v>
      </x:c>
      <x:c r="M194" s="103" t="str">
        <x:f>IF(B194&lt;='Unlock Map'!$B$11,"Enabled","Locked")</x:f>
        <x:v>Locked</x:v>
      </x:c>
    </x:row>
    <x:row r="195" ht="54" customHeight="1">
      <x:c r="A195" s="107" t="str">
        <x:v>S4-D7-E2</x:v>
      </x:c>
      <x:c r="B195" s="107" t="n">
        <x:v>4</x:v>
      </x:c>
      <x:c r="C195" s="107" t="str">
        <x:v>Expressing</x:v>
      </x:c>
      <x:c r="D195" s="107" t="n">
        <x:v>7</x:v>
      </x:c>
      <x:c r="E195" s="107" t="str">
        <x:v>Safety, Legal &amp; Governance</x:v>
      </x:c>
      <x:c r="F195" s="107" t="n">
        <x:v>2</x:v>
      </x:c>
      <x:c r="G195" s="107" t="str">
        <x:v>Plans</x:v>
      </x:c>
      <x:c r="H195" s="103" t="str">
        <x:v>Civic Rights &amp; Responsibilities — Understand and use lawful channels for participation, representation, feedback, and accountability.</x:v>
      </x:c>
      <x:c r="I195" s="103" t="str">
        <x:v>Civic Rights &amp; Responsibilities Plan</x:v>
      </x:c>
      <x:c r="J195" s="103" t="str">
        <x:v>Set goals, budgets, schedules, thresholds, scenarios, and priorities for civic rights &amp; responsibilities.</x:v>
      </x:c>
      <x:c r="K195" s="103" t="str">
        <x:v>voter and civic records; public services; petitions; meetings; complaints; consultations; permissions</x:v>
      </x:c>
      <x:c r="L195" s="103" t="str">
        <x:v>Community Pack</x:v>
      </x:c>
      <x:c r="M195" s="103" t="str">
        <x:f>IF(B195&lt;='Unlock Map'!$B$11,"Enabled","Locked")</x:f>
        <x:v>Locked</x:v>
      </x:c>
    </x:row>
    <x:row r="196" ht="54" customHeight="1">
      <x:c r="A196" s="107" t="str">
        <x:v>S4-D7-E3</x:v>
      </x:c>
      <x:c r="B196" s="107" t="n">
        <x:v>4</x:v>
      </x:c>
      <x:c r="C196" s="107" t="str">
        <x:v>Expressing</x:v>
      </x:c>
      <x:c r="D196" s="107" t="n">
        <x:v>7</x:v>
      </x:c>
      <x:c r="E196" s="107" t="str">
        <x:v>Safety, Legal &amp; Governance</x:v>
      </x:c>
      <x:c r="F196" s="107" t="n">
        <x:v>3</x:v>
      </x:c>
      <x:c r="G196" s="107" t="str">
        <x:v>Actions</x:v>
      </x:c>
      <x:c r="H196" s="103" t="str">
        <x:v>Civic Rights &amp; Responsibilities — Understand and use lawful channels for participation, representation, feedback, and accountability.</x:v>
      </x:c>
      <x:c r="I196" s="103" t="str">
        <x:v>Civic Rights &amp; Responsibilities Actions</x:v>
      </x:c>
      <x:c r="J196" s="103" t="str">
        <x:v>Turn the civic rights &amp; responsibilities plan into owned tasks, routines, transactions, projects, and follow-ups.</x:v>
      </x:c>
      <x:c r="K196" s="103" t="str">
        <x:v>voter and civic records; public services; petitions; meetings; complaints; consultations; permissions</x:v>
      </x:c>
      <x:c r="L196" s="103" t="str">
        <x:v>Community Pack</x:v>
      </x:c>
      <x:c r="M196" s="103" t="str">
        <x:f>IF(B196&lt;='Unlock Map'!$B$11,"Enabled","Locked")</x:f>
        <x:v>Locked</x:v>
      </x:c>
    </x:row>
    <x:row r="197" ht="54" customHeight="1">
      <x:c r="A197" s="107" t="str">
        <x:v>S4-D7-E4</x:v>
      </x:c>
      <x:c r="B197" s="107" t="n">
        <x:v>4</x:v>
      </x:c>
      <x:c r="C197" s="107" t="str">
        <x:v>Expressing</x:v>
      </x:c>
      <x:c r="D197" s="107" t="n">
        <x:v>7</x:v>
      </x:c>
      <x:c r="E197" s="107" t="str">
        <x:v>Safety, Legal &amp; Governance</x:v>
      </x:c>
      <x:c r="F197" s="107" t="n">
        <x:v>4</x:v>
      </x:c>
      <x:c r="G197" s="107" t="str">
        <x:v>Collaboration</x:v>
      </x:c>
      <x:c r="H197" s="103" t="str">
        <x:v>Civic Rights &amp; Responsibilities — Understand and use lawful channels for participation, representation, feedback, and accountability.</x:v>
      </x:c>
      <x:c r="I197" s="103" t="str">
        <x:v>Civic Rights &amp; Responsibilities Coordination</x:v>
      </x:c>
      <x:c r="J197" s="103" t="str">
        <x:v>Share roles, messages, approvals, handoffs, and appropriate external access for civic rights &amp; responsibilities.</x:v>
      </x:c>
      <x:c r="K197" s="103" t="str">
        <x:v>voter and civic records; public services; petitions; meetings; complaints; consultations; permissions</x:v>
      </x:c>
      <x:c r="L197" s="103" t="str">
        <x:v>Community Pack</x:v>
      </x:c>
      <x:c r="M197" s="103" t="str">
        <x:f>IF(B197&lt;='Unlock Map'!$B$11,"Enabled","Locked")</x:f>
        <x:v>Locked</x:v>
      </x:c>
    </x:row>
    <x:row r="198" ht="54" customHeight="1">
      <x:c r="A198" s="107" t="str">
        <x:v>S4-D7-E5</x:v>
      </x:c>
      <x:c r="B198" s="107" t="n">
        <x:v>4</x:v>
      </x:c>
      <x:c r="C198" s="107" t="str">
        <x:v>Expressing</x:v>
      </x:c>
      <x:c r="D198" s="107" t="n">
        <x:v>7</x:v>
      </x:c>
      <x:c r="E198" s="107" t="str">
        <x:v>Safety, Legal &amp; Governance</x:v>
      </x:c>
      <x:c r="F198" s="107" t="n">
        <x:v>5</x:v>
      </x:c>
      <x:c r="G198" s="107" t="str">
        <x:v>Safeguards</x:v>
      </x:c>
      <x:c r="H198" s="103" t="str">
        <x:v>Civic Rights &amp; Responsibilities — Understand and use lawful channels for participation, representation, feedback, and accountability.</x:v>
      </x:c>
      <x:c r="I198" s="103" t="str">
        <x:v>Civic Rights &amp; Responsibilities Controls</x:v>
      </x:c>
      <x:c r="J198" s="103" t="str">
        <x:v>Apply permissions, limits, alerts, evidence, contingency rules, and exception handling to civic rights &amp; responsibilities.</x:v>
      </x:c>
      <x:c r="K198" s="103" t="str">
        <x:v>voter and civic records; public services; petitions; meetings; complaints; consultations; permissions</x:v>
      </x:c>
      <x:c r="L198" s="103" t="str">
        <x:v>Community Pack</x:v>
      </x:c>
      <x:c r="M198" s="103" t="str">
        <x:f>IF(B198&lt;='Unlock Map'!$B$11,"Enabled","Locked")</x:f>
        <x:v>Locked</x:v>
      </x:c>
    </x:row>
    <x:row r="199" ht="54" customHeight="1">
      <x:c r="A199" s="107" t="str">
        <x:v>S4-D7-E6</x:v>
      </x:c>
      <x:c r="B199" s="107" t="n">
        <x:v>4</x:v>
      </x:c>
      <x:c r="C199" s="107" t="str">
        <x:v>Expressing</x:v>
      </x:c>
      <x:c r="D199" s="107" t="n">
        <x:v>7</x:v>
      </x:c>
      <x:c r="E199" s="107" t="str">
        <x:v>Safety, Legal &amp; Governance</x:v>
      </x:c>
      <x:c r="F199" s="107" t="n">
        <x:v>6</x:v>
      </x:c>
      <x:c r="G199" s="107" t="str">
        <x:v>Insights</x:v>
      </x:c>
      <x:c r="H199" s="103" t="str">
        <x:v>Civic Rights &amp; Responsibilities — Understand and use lawful channels for participation, representation, feedback, and accountability.</x:v>
      </x:c>
      <x:c r="I199" s="103" t="str">
        <x:v>Civic Rights &amp; Responsibilities Review</x:v>
      </x:c>
      <x:c r="J199" s="103" t="str">
        <x:v>Show status, trends, gaps, risks, outcomes, and next decisions for civic rights &amp; responsibilities.</x:v>
      </x:c>
      <x:c r="K199" s="103" t="str">
        <x:v>voter and civic records; public services; petitions; meetings; complaints; consultations; permissions</x:v>
      </x:c>
      <x:c r="L199" s="103" t="str">
        <x:v>Community Pack</x:v>
      </x:c>
      <x:c r="M199" s="103" t="str">
        <x:f>IF(B199&lt;='Unlock Map'!$B$11,"Enabled","Locked")</x:f>
        <x:v>Locked</x:v>
      </x:c>
    </x:row>
    <x:row r="200" ht="54" customHeight="1">
      <x:c r="A200" s="107" t="str">
        <x:v>S4-D7-E7</x:v>
      </x:c>
      <x:c r="B200" s="107" t="n">
        <x:v>4</x:v>
      </x:c>
      <x:c r="C200" s="107" t="str">
        <x:v>Expressing</x:v>
      </x:c>
      <x:c r="D200" s="107" t="n">
        <x:v>7</x:v>
      </x:c>
      <x:c r="E200" s="107" t="str">
        <x:v>Safety, Legal &amp; Governance</x:v>
      </x:c>
      <x:c r="F200" s="107" t="n">
        <x:v>7</x:v>
      </x:c>
      <x:c r="G200" s="107" t="str">
        <x:v>Automation</x:v>
      </x:c>
      <x:c r="H200" s="103" t="str">
        <x:v>Civic Rights &amp; Responsibilities — Understand and use lawful channels for participation, representation, feedback, and accountability.</x:v>
      </x:c>
      <x:c r="I200" s="103" t="str">
        <x:v>Civic Rights &amp; Responsibilities Automation</x:v>
      </x:c>
      <x:c r="J200" s="103" t="str">
        <x:v>Use recurring rules, integrations, recommendations, and predictive reminders for civic rights &amp; responsibilities.</x:v>
      </x:c>
      <x:c r="K200" s="103" t="str">
        <x:v>voter and civic records; public services; petitions; meetings; complaints; consultations; permissions</x:v>
      </x:c>
      <x:c r="L200" s="103" t="str">
        <x:v>Community Pack</x:v>
      </x:c>
      <x:c r="M200" s="103" t="str">
        <x:f>IF(B200&lt;='Unlock Map'!$B$11,"Enabled","Locked")</x:f>
        <x:v>Locked</x:v>
      </x:c>
    </x:row>
    <x:row r="201" ht="54" customHeight="1">
      <x:c r="A201" s="104" t="str">
        <x:v>S5-D1-E1</x:v>
      </x:c>
      <x:c r="B201" s="104" t="n">
        <x:v>5</x:v>
      </x:c>
      <x:c r="C201" s="104" t="str">
        <x:v>Thriving</x:v>
      </x:c>
      <x:c r="D201" s="104" t="n">
        <x:v>1</x:v>
      </x:c>
      <x:c r="E201" s="104" t="str">
        <x:v>Finance, Work &amp; Wealth</x:v>
      </x:c>
      <x:c r="F201" s="104" t="n">
        <x:v>1</x:v>
      </x:c>
      <x:c r="G201" s="104" t="str">
        <x:v>Records</x:v>
      </x:c>
      <x:c r="H201" s="100" t="str">
        <x:v>Wealth Creation &amp; Responsible Enterprise — Build durable surplus through investment, enterprise, innovation, and responsible employment.</x:v>
      </x:c>
      <x:c r="I201" s="100" t="str">
        <x:v>Wealth Creation &amp; Responsible Enterprise Register</x:v>
      </x:c>
      <x:c r="J201" s="100" t="str">
        <x:v>Capture and maintain portfolio; businesses; property; intellectual assets; jobs; impact investment; reserves.</x:v>
      </x:c>
      <x:c r="K201" s="100" t="str">
        <x:v>portfolio; businesses; property; intellectual assets; jobs; impact investment; reserves</x:v>
      </x:c>
      <x:c r="L201" s="100" t="str">
        <x:v>Leadership Pack</x:v>
      </x:c>
      <x:c r="M201" s="100" t="str">
        <x:f>IF(B201&lt;='Unlock Map'!$B$11,"Enabled","Locked")</x:f>
        <x:v>Locked</x:v>
      </x:c>
    </x:row>
    <x:row r="202" ht="54" customHeight="1">
      <x:c r="A202" s="105" t="str">
        <x:v>S5-D1-E2</x:v>
      </x:c>
      <x:c r="B202" s="105" t="n">
        <x:v>5</x:v>
      </x:c>
      <x:c r="C202" s="105" t="str">
        <x:v>Thriving</x:v>
      </x:c>
      <x:c r="D202" s="105" t="n">
        <x:v>1</x:v>
      </x:c>
      <x:c r="E202" s="105" t="str">
        <x:v>Finance, Work &amp; Wealth</x:v>
      </x:c>
      <x:c r="F202" s="105" t="n">
        <x:v>2</x:v>
      </x:c>
      <x:c r="G202" s="105" t="str">
        <x:v>Plans</x:v>
      </x:c>
      <x:c r="H202" s="101" t="str">
        <x:v>Wealth Creation &amp; Responsible Enterprise — Build durable surplus through investment, enterprise, innovation, and responsible employment.</x:v>
      </x:c>
      <x:c r="I202" s="101" t="str">
        <x:v>Wealth Creation &amp; Responsible Enterprise Plan</x:v>
      </x:c>
      <x:c r="J202" s="101" t="str">
        <x:v>Set goals, budgets, schedules, thresholds, scenarios, and priorities for wealth creation &amp; responsible enterprise.</x:v>
      </x:c>
      <x:c r="K202" s="101" t="str">
        <x:v>portfolio; businesses; property; intellectual assets; jobs; impact investment; reserves</x:v>
      </x:c>
      <x:c r="L202" s="101" t="str">
        <x:v>Leadership Pack</x:v>
      </x:c>
      <x:c r="M202" s="101" t="str">
        <x:f>IF(B202&lt;='Unlock Map'!$B$11,"Enabled","Locked")</x:f>
        <x:v>Locked</x:v>
      </x:c>
    </x:row>
    <x:row r="203" ht="54" customHeight="1">
      <x:c r="A203" s="105" t="str">
        <x:v>S5-D1-E3</x:v>
      </x:c>
      <x:c r="B203" s="105" t="n">
        <x:v>5</x:v>
      </x:c>
      <x:c r="C203" s="105" t="str">
        <x:v>Thriving</x:v>
      </x:c>
      <x:c r="D203" s="105" t="n">
        <x:v>1</x:v>
      </x:c>
      <x:c r="E203" s="105" t="str">
        <x:v>Finance, Work &amp; Wealth</x:v>
      </x:c>
      <x:c r="F203" s="105" t="n">
        <x:v>3</x:v>
      </x:c>
      <x:c r="G203" s="105" t="str">
        <x:v>Actions</x:v>
      </x:c>
      <x:c r="H203" s="101" t="str">
        <x:v>Wealth Creation &amp; Responsible Enterprise — Build durable surplus through investment, enterprise, innovation, and responsible employment.</x:v>
      </x:c>
      <x:c r="I203" s="101" t="str">
        <x:v>Wealth Creation &amp; Responsible Enterprise Actions</x:v>
      </x:c>
      <x:c r="J203" s="101" t="str">
        <x:v>Turn the wealth creation &amp; responsible enterprise plan into owned tasks, routines, transactions, projects, and follow-ups.</x:v>
      </x:c>
      <x:c r="K203" s="101" t="str">
        <x:v>portfolio; businesses; property; intellectual assets; jobs; impact investment; reserves</x:v>
      </x:c>
      <x:c r="L203" s="101" t="str">
        <x:v>Leadership Pack</x:v>
      </x:c>
      <x:c r="M203" s="101" t="str">
        <x:f>IF(B203&lt;='Unlock Map'!$B$11,"Enabled","Locked")</x:f>
        <x:v>Locked</x:v>
      </x:c>
    </x:row>
    <x:row r="204" ht="54" customHeight="1">
      <x:c r="A204" s="105" t="str">
        <x:v>S5-D1-E4</x:v>
      </x:c>
      <x:c r="B204" s="105" t="n">
        <x:v>5</x:v>
      </x:c>
      <x:c r="C204" s="105" t="str">
        <x:v>Thriving</x:v>
      </x:c>
      <x:c r="D204" s="105" t="n">
        <x:v>1</x:v>
      </x:c>
      <x:c r="E204" s="105" t="str">
        <x:v>Finance, Work &amp; Wealth</x:v>
      </x:c>
      <x:c r="F204" s="105" t="n">
        <x:v>4</x:v>
      </x:c>
      <x:c r="G204" s="105" t="str">
        <x:v>Collaboration</x:v>
      </x:c>
      <x:c r="H204" s="101" t="str">
        <x:v>Wealth Creation &amp; Responsible Enterprise — Build durable surplus through investment, enterprise, innovation, and responsible employment.</x:v>
      </x:c>
      <x:c r="I204" s="101" t="str">
        <x:v>Wealth Creation &amp; Responsible Enterprise Coordination</x:v>
      </x:c>
      <x:c r="J204" s="101" t="str">
        <x:v>Share roles, messages, approvals, handoffs, and appropriate external access for wealth creation &amp; responsible enterprise.</x:v>
      </x:c>
      <x:c r="K204" s="101" t="str">
        <x:v>portfolio; businesses; property; intellectual assets; jobs; impact investment; reserves</x:v>
      </x:c>
      <x:c r="L204" s="101" t="str">
        <x:v>Leadership Pack</x:v>
      </x:c>
      <x:c r="M204" s="101" t="str">
        <x:f>IF(B204&lt;='Unlock Map'!$B$11,"Enabled","Locked")</x:f>
        <x:v>Locked</x:v>
      </x:c>
    </x:row>
    <x:row r="205" ht="54" customHeight="1">
      <x:c r="A205" s="105" t="str">
        <x:v>S5-D1-E5</x:v>
      </x:c>
      <x:c r="B205" s="105" t="n">
        <x:v>5</x:v>
      </x:c>
      <x:c r="C205" s="105" t="str">
        <x:v>Thriving</x:v>
      </x:c>
      <x:c r="D205" s="105" t="n">
        <x:v>1</x:v>
      </x:c>
      <x:c r="E205" s="105" t="str">
        <x:v>Finance, Work &amp; Wealth</x:v>
      </x:c>
      <x:c r="F205" s="105" t="n">
        <x:v>5</x:v>
      </x:c>
      <x:c r="G205" s="105" t="str">
        <x:v>Safeguards</x:v>
      </x:c>
      <x:c r="H205" s="101" t="str">
        <x:v>Wealth Creation &amp; Responsible Enterprise — Build durable surplus through investment, enterprise, innovation, and responsible employment.</x:v>
      </x:c>
      <x:c r="I205" s="101" t="str">
        <x:v>Wealth Creation &amp; Responsible Enterprise Controls</x:v>
      </x:c>
      <x:c r="J205" s="101" t="str">
        <x:v>Apply permissions, limits, alerts, evidence, contingency rules, and exception handling to wealth creation &amp; responsible enterprise.</x:v>
      </x:c>
      <x:c r="K205" s="101" t="str">
        <x:v>portfolio; businesses; property; intellectual assets; jobs; impact investment; reserves</x:v>
      </x:c>
      <x:c r="L205" s="101" t="str">
        <x:v>Leadership Pack</x:v>
      </x:c>
      <x:c r="M205" s="101" t="str">
        <x:f>IF(B205&lt;='Unlock Map'!$B$11,"Enabled","Locked")</x:f>
        <x:v>Locked</x:v>
      </x:c>
    </x:row>
    <x:row r="206" ht="54" customHeight="1">
      <x:c r="A206" s="105" t="str">
        <x:v>S5-D1-E6</x:v>
      </x:c>
      <x:c r="B206" s="105" t="n">
        <x:v>5</x:v>
      </x:c>
      <x:c r="C206" s="105" t="str">
        <x:v>Thriving</x:v>
      </x:c>
      <x:c r="D206" s="105" t="n">
        <x:v>1</x:v>
      </x:c>
      <x:c r="E206" s="105" t="str">
        <x:v>Finance, Work &amp; Wealth</x:v>
      </x:c>
      <x:c r="F206" s="105" t="n">
        <x:v>6</x:v>
      </x:c>
      <x:c r="G206" s="105" t="str">
        <x:v>Insights</x:v>
      </x:c>
      <x:c r="H206" s="101" t="str">
        <x:v>Wealth Creation &amp; Responsible Enterprise — Build durable surplus through investment, enterprise, innovation, and responsible employment.</x:v>
      </x:c>
      <x:c r="I206" s="101" t="str">
        <x:v>Wealth Creation &amp; Responsible Enterprise Review</x:v>
      </x:c>
      <x:c r="J206" s="101" t="str">
        <x:v>Show status, trends, gaps, risks, outcomes, and next decisions for wealth creation &amp; responsible enterprise.</x:v>
      </x:c>
      <x:c r="K206" s="101" t="str">
        <x:v>portfolio; businesses; property; intellectual assets; jobs; impact investment; reserves</x:v>
      </x:c>
      <x:c r="L206" s="101" t="str">
        <x:v>Leadership Pack</x:v>
      </x:c>
      <x:c r="M206" s="101" t="str">
        <x:f>IF(B206&lt;='Unlock Map'!$B$11,"Enabled","Locked")</x:f>
        <x:v>Locked</x:v>
      </x:c>
    </x:row>
    <x:row r="207" ht="54" customHeight="1">
      <x:c r="A207" s="105" t="str">
        <x:v>S5-D1-E7</x:v>
      </x:c>
      <x:c r="B207" s="105" t="n">
        <x:v>5</x:v>
      </x:c>
      <x:c r="C207" s="105" t="str">
        <x:v>Thriving</x:v>
      </x:c>
      <x:c r="D207" s="105" t="n">
        <x:v>1</x:v>
      </x:c>
      <x:c r="E207" s="105" t="str">
        <x:v>Finance, Work &amp; Wealth</x:v>
      </x:c>
      <x:c r="F207" s="105" t="n">
        <x:v>7</x:v>
      </x:c>
      <x:c r="G207" s="105" t="str">
        <x:v>Automation</x:v>
      </x:c>
      <x:c r="H207" s="101" t="str">
        <x:v>Wealth Creation &amp; Responsible Enterprise — Build durable surplus through investment, enterprise, innovation, and responsible employment.</x:v>
      </x:c>
      <x:c r="I207" s="101" t="str">
        <x:v>Wealth Creation &amp; Responsible Enterprise Automation</x:v>
      </x:c>
      <x:c r="J207" s="101" t="str">
        <x:v>Use recurring rules, integrations, recommendations, and predictive reminders for wealth creation &amp; responsible enterprise.</x:v>
      </x:c>
      <x:c r="K207" s="101" t="str">
        <x:v>portfolio; businesses; property; intellectual assets; jobs; impact investment; reserves</x:v>
      </x:c>
      <x:c r="L207" s="101" t="str">
        <x:v>Leadership Pack</x:v>
      </x:c>
      <x:c r="M207" s="101" t="str">
        <x:f>IF(B207&lt;='Unlock Map'!$B$11,"Enabled","Locked")</x:f>
        <x:v>Locked</x:v>
      </x:c>
    </x:row>
    <x:row r="208" ht="54" customHeight="1">
      <x:c r="A208" s="105" t="str">
        <x:v>S5-D2-E1</x:v>
      </x:c>
      <x:c r="B208" s="105" t="n">
        <x:v>5</x:v>
      </x:c>
      <x:c r="C208" s="105" t="str">
        <x:v>Thriving</x:v>
      </x:c>
      <x:c r="D208" s="105" t="n">
        <x:v>2</x:v>
      </x:c>
      <x:c r="E208" s="105" t="str">
        <x:v>Health &amp; Care</x:v>
      </x:c>
      <x:c r="F208" s="105" t="n">
        <x:v>1</x:v>
      </x:c>
      <x:c r="G208" s="105" t="str">
        <x:v>Records</x:v>
      </x:c>
      <x:c r="H208" s="101" t="str">
        <x:v>Health Mastery &amp; Resilience — Move toward measurable vitality, long-horizon prevention, recovery capacity, and care leadership.</x:v>
      </x:c>
      <x:c r="I208" s="101" t="str">
        <x:v>Health Mastery &amp; Resilience Register</x:v>
      </x:c>
      <x:c r="J208" s="101" t="str">
        <x:v>Capture and maintain longitudinal health; fitness plans; resilience; specialist care; caregiver capacity; prevention outcomes.</x:v>
      </x:c>
      <x:c r="K208" s="101" t="str">
        <x:v>longitudinal health; fitness plans; resilience; specialist care; caregiver capacity; prevention outcomes</x:v>
      </x:c>
      <x:c r="L208" s="101" t="str">
        <x:v>Leadership Pack</x:v>
      </x:c>
      <x:c r="M208" s="101" t="str">
        <x:f>IF(B208&lt;='Unlock Map'!$B$11,"Enabled","Locked")</x:f>
        <x:v>Locked</x:v>
      </x:c>
    </x:row>
    <x:row r="209" ht="54" customHeight="1">
      <x:c r="A209" s="105" t="str">
        <x:v>S5-D2-E2</x:v>
      </x:c>
      <x:c r="B209" s="105" t="n">
        <x:v>5</x:v>
      </x:c>
      <x:c r="C209" s="105" t="str">
        <x:v>Thriving</x:v>
      </x:c>
      <x:c r="D209" s="105" t="n">
        <x:v>2</x:v>
      </x:c>
      <x:c r="E209" s="105" t="str">
        <x:v>Health &amp; Care</x:v>
      </x:c>
      <x:c r="F209" s="105" t="n">
        <x:v>2</x:v>
      </x:c>
      <x:c r="G209" s="105" t="str">
        <x:v>Plans</x:v>
      </x:c>
      <x:c r="H209" s="101" t="str">
        <x:v>Health Mastery &amp; Resilience — Move toward measurable vitality, long-horizon prevention, recovery capacity, and care leadership.</x:v>
      </x:c>
      <x:c r="I209" s="101" t="str">
        <x:v>Health Mastery &amp; Resilience Plan</x:v>
      </x:c>
      <x:c r="J209" s="101" t="str">
        <x:v>Set goals, budgets, schedules, thresholds, scenarios, and priorities for health mastery &amp; resilience.</x:v>
      </x:c>
      <x:c r="K209" s="101" t="str">
        <x:v>longitudinal health; fitness plans; resilience; specialist care; caregiver capacity; prevention outcomes</x:v>
      </x:c>
      <x:c r="L209" s="101" t="str">
        <x:v>Leadership Pack</x:v>
      </x:c>
      <x:c r="M209" s="101" t="str">
        <x:f>IF(B209&lt;='Unlock Map'!$B$11,"Enabled","Locked")</x:f>
        <x:v>Locked</x:v>
      </x:c>
    </x:row>
    <x:row r="210" ht="54" customHeight="1">
      <x:c r="A210" s="105" t="str">
        <x:v>S5-D2-E3</x:v>
      </x:c>
      <x:c r="B210" s="105" t="n">
        <x:v>5</x:v>
      </x:c>
      <x:c r="C210" s="105" t="str">
        <x:v>Thriving</x:v>
      </x:c>
      <x:c r="D210" s="105" t="n">
        <x:v>2</x:v>
      </x:c>
      <x:c r="E210" s="105" t="str">
        <x:v>Health &amp; Care</x:v>
      </x:c>
      <x:c r="F210" s="105" t="n">
        <x:v>3</x:v>
      </x:c>
      <x:c r="G210" s="105" t="str">
        <x:v>Actions</x:v>
      </x:c>
      <x:c r="H210" s="101" t="str">
        <x:v>Health Mastery &amp; Resilience — Move toward measurable vitality, long-horizon prevention, recovery capacity, and care leadership.</x:v>
      </x:c>
      <x:c r="I210" s="101" t="str">
        <x:v>Health Mastery &amp; Resilience Actions</x:v>
      </x:c>
      <x:c r="J210" s="101" t="str">
        <x:v>Turn the health mastery &amp; resilience plan into owned tasks, routines, transactions, projects, and follow-ups.</x:v>
      </x:c>
      <x:c r="K210" s="101" t="str">
        <x:v>longitudinal health; fitness plans; resilience; specialist care; caregiver capacity; prevention outcomes</x:v>
      </x:c>
      <x:c r="L210" s="101" t="str">
        <x:v>Leadership Pack</x:v>
      </x:c>
      <x:c r="M210" s="101" t="str">
        <x:f>IF(B210&lt;='Unlock Map'!$B$11,"Enabled","Locked")</x:f>
        <x:v>Locked</x:v>
      </x:c>
    </x:row>
    <x:row r="211" ht="54" customHeight="1">
      <x:c r="A211" s="105" t="str">
        <x:v>S5-D2-E4</x:v>
      </x:c>
      <x:c r="B211" s="105" t="n">
        <x:v>5</x:v>
      </x:c>
      <x:c r="C211" s="105" t="str">
        <x:v>Thriving</x:v>
      </x:c>
      <x:c r="D211" s="105" t="n">
        <x:v>2</x:v>
      </x:c>
      <x:c r="E211" s="105" t="str">
        <x:v>Health &amp; Care</x:v>
      </x:c>
      <x:c r="F211" s="105" t="n">
        <x:v>4</x:v>
      </x:c>
      <x:c r="G211" s="105" t="str">
        <x:v>Collaboration</x:v>
      </x:c>
      <x:c r="H211" s="101" t="str">
        <x:v>Health Mastery &amp; Resilience — Move toward measurable vitality, long-horizon prevention, recovery capacity, and care leadership.</x:v>
      </x:c>
      <x:c r="I211" s="101" t="str">
        <x:v>Health Mastery &amp; Resilience Coordination</x:v>
      </x:c>
      <x:c r="J211" s="101" t="str">
        <x:v>Share roles, messages, approvals, handoffs, and appropriate external access for health mastery &amp; resilience.</x:v>
      </x:c>
      <x:c r="K211" s="101" t="str">
        <x:v>longitudinal health; fitness plans; resilience; specialist care; caregiver capacity; prevention outcomes</x:v>
      </x:c>
      <x:c r="L211" s="101" t="str">
        <x:v>Leadership Pack</x:v>
      </x:c>
      <x:c r="M211" s="101" t="str">
        <x:f>IF(B211&lt;='Unlock Map'!$B$11,"Enabled","Locked")</x:f>
        <x:v>Locked</x:v>
      </x:c>
    </x:row>
    <x:row r="212" ht="54" customHeight="1">
      <x:c r="A212" s="105" t="str">
        <x:v>S5-D2-E5</x:v>
      </x:c>
      <x:c r="B212" s="105" t="n">
        <x:v>5</x:v>
      </x:c>
      <x:c r="C212" s="105" t="str">
        <x:v>Thriving</x:v>
      </x:c>
      <x:c r="D212" s="105" t="n">
        <x:v>2</x:v>
      </x:c>
      <x:c r="E212" s="105" t="str">
        <x:v>Health &amp; Care</x:v>
      </x:c>
      <x:c r="F212" s="105" t="n">
        <x:v>5</x:v>
      </x:c>
      <x:c r="G212" s="105" t="str">
        <x:v>Safeguards</x:v>
      </x:c>
      <x:c r="H212" s="101" t="str">
        <x:v>Health Mastery &amp; Resilience — Move toward measurable vitality, long-horizon prevention, recovery capacity, and care leadership.</x:v>
      </x:c>
      <x:c r="I212" s="101" t="str">
        <x:v>Health Mastery &amp; Resilience Controls</x:v>
      </x:c>
      <x:c r="J212" s="101" t="str">
        <x:v>Apply permissions, limits, alerts, evidence, contingency rules, and exception handling to health mastery &amp; resilience.</x:v>
      </x:c>
      <x:c r="K212" s="101" t="str">
        <x:v>longitudinal health; fitness plans; resilience; specialist care; caregiver capacity; prevention outcomes</x:v>
      </x:c>
      <x:c r="L212" s="101" t="str">
        <x:v>Leadership Pack</x:v>
      </x:c>
      <x:c r="M212" s="101" t="str">
        <x:f>IF(B212&lt;='Unlock Map'!$B$11,"Enabled","Locked")</x:f>
        <x:v>Locked</x:v>
      </x:c>
    </x:row>
    <x:row r="213" ht="54" customHeight="1">
      <x:c r="A213" s="105" t="str">
        <x:v>S5-D2-E6</x:v>
      </x:c>
      <x:c r="B213" s="105" t="n">
        <x:v>5</x:v>
      </x:c>
      <x:c r="C213" s="105" t="str">
        <x:v>Thriving</x:v>
      </x:c>
      <x:c r="D213" s="105" t="n">
        <x:v>2</x:v>
      </x:c>
      <x:c r="E213" s="105" t="str">
        <x:v>Health &amp; Care</x:v>
      </x:c>
      <x:c r="F213" s="105" t="n">
        <x:v>6</x:v>
      </x:c>
      <x:c r="G213" s="105" t="str">
        <x:v>Insights</x:v>
      </x:c>
      <x:c r="H213" s="101" t="str">
        <x:v>Health Mastery &amp; Resilience — Move toward measurable vitality, long-horizon prevention, recovery capacity, and care leadership.</x:v>
      </x:c>
      <x:c r="I213" s="101" t="str">
        <x:v>Health Mastery &amp; Resilience Review</x:v>
      </x:c>
      <x:c r="J213" s="101" t="str">
        <x:v>Show status, trends, gaps, risks, outcomes, and next decisions for health mastery &amp; resilience.</x:v>
      </x:c>
      <x:c r="K213" s="101" t="str">
        <x:v>longitudinal health; fitness plans; resilience; specialist care; caregiver capacity; prevention outcomes</x:v>
      </x:c>
      <x:c r="L213" s="101" t="str">
        <x:v>Leadership Pack</x:v>
      </x:c>
      <x:c r="M213" s="101" t="str">
        <x:f>IF(B213&lt;='Unlock Map'!$B$11,"Enabled","Locked")</x:f>
        <x:v>Locked</x:v>
      </x:c>
    </x:row>
    <x:row r="214" ht="54" customHeight="1">
      <x:c r="A214" s="105" t="str">
        <x:v>S5-D2-E7</x:v>
      </x:c>
      <x:c r="B214" s="105" t="n">
        <x:v>5</x:v>
      </x:c>
      <x:c r="C214" s="105" t="str">
        <x:v>Thriving</x:v>
      </x:c>
      <x:c r="D214" s="105" t="n">
        <x:v>2</x:v>
      </x:c>
      <x:c r="E214" s="105" t="str">
        <x:v>Health &amp; Care</x:v>
      </x:c>
      <x:c r="F214" s="105" t="n">
        <x:v>7</x:v>
      </x:c>
      <x:c r="G214" s="105" t="str">
        <x:v>Automation</x:v>
      </x:c>
      <x:c r="H214" s="101" t="str">
        <x:v>Health Mastery &amp; Resilience — Move toward measurable vitality, long-horizon prevention, recovery capacity, and care leadership.</x:v>
      </x:c>
      <x:c r="I214" s="101" t="str">
        <x:v>Health Mastery &amp; Resilience Automation</x:v>
      </x:c>
      <x:c r="J214" s="101" t="str">
        <x:v>Use recurring rules, integrations, recommendations, and predictive reminders for health mastery &amp; resilience.</x:v>
      </x:c>
      <x:c r="K214" s="101" t="str">
        <x:v>longitudinal health; fitness plans; resilience; specialist care; caregiver capacity; prevention outcomes</x:v>
      </x:c>
      <x:c r="L214" s="101" t="str">
        <x:v>Leadership Pack</x:v>
      </x:c>
      <x:c r="M214" s="101" t="str">
        <x:f>IF(B214&lt;='Unlock Map'!$B$11,"Enabled","Locked")</x:f>
        <x:v>Locked</x:v>
      </x:c>
    </x:row>
    <x:row r="215" ht="54" customHeight="1">
      <x:c r="A215" s="105" t="str">
        <x:v>S5-D3-E1</x:v>
      </x:c>
      <x:c r="B215" s="105" t="n">
        <x:v>5</x:v>
      </x:c>
      <x:c r="C215" s="105" t="str">
        <x:v>Thriving</x:v>
      </x:c>
      <x:c r="D215" s="105" t="n">
        <x:v>3</x:v>
      </x:c>
      <x:c r="E215" s="105" t="str">
        <x:v>Education, Skills &amp; Knowledge</x:v>
      </x:c>
      <x:c r="F215" s="105" t="n">
        <x:v>1</x:v>
      </x:c>
      <x:c r="G215" s="105" t="str">
        <x:v>Records</x:v>
      </x:c>
      <x:c r="H215" s="101" t="str">
        <x:v>Mentorship &amp; Learning Leadership — Develop other people through mentorship, scholarships, teaching systems, and learning communities.</x:v>
      </x:c>
      <x:c r="I215" s="101" t="str">
        <x:v>Mentorship &amp; Learning Leadership Register</x:v>
      </x:c>
      <x:c r="J215" s="101" t="str">
        <x:v>Capture and maintain mentees; mentors; curricula; scholarships; learning cohorts; outcomes; teaching assets.</x:v>
      </x:c>
      <x:c r="K215" s="101" t="str">
        <x:v>mentees; mentors; curricula; scholarships; learning cohorts; outcomes; teaching assets</x:v>
      </x:c>
      <x:c r="L215" s="101" t="str">
        <x:v>Leadership Pack</x:v>
      </x:c>
      <x:c r="M215" s="101" t="str">
        <x:f>IF(B215&lt;='Unlock Map'!$B$11,"Enabled","Locked")</x:f>
        <x:v>Locked</x:v>
      </x:c>
    </x:row>
    <x:row r="216" ht="54" customHeight="1">
      <x:c r="A216" s="105" t="str">
        <x:v>S5-D3-E2</x:v>
      </x:c>
      <x:c r="B216" s="105" t="n">
        <x:v>5</x:v>
      </x:c>
      <x:c r="C216" s="105" t="str">
        <x:v>Thriving</x:v>
      </x:c>
      <x:c r="D216" s="105" t="n">
        <x:v>3</x:v>
      </x:c>
      <x:c r="E216" s="105" t="str">
        <x:v>Education, Skills &amp; Knowledge</x:v>
      </x:c>
      <x:c r="F216" s="105" t="n">
        <x:v>2</x:v>
      </x:c>
      <x:c r="G216" s="105" t="str">
        <x:v>Plans</x:v>
      </x:c>
      <x:c r="H216" s="101" t="str">
        <x:v>Mentorship &amp; Learning Leadership — Develop other people through mentorship, scholarships, teaching systems, and learning communities.</x:v>
      </x:c>
      <x:c r="I216" s="101" t="str">
        <x:v>Mentorship &amp; Learning Leadership Plan</x:v>
      </x:c>
      <x:c r="J216" s="101" t="str">
        <x:v>Set goals, budgets, schedules, thresholds, scenarios, and priorities for mentorship &amp; learning leadership.</x:v>
      </x:c>
      <x:c r="K216" s="101" t="str">
        <x:v>mentees; mentors; curricula; scholarships; learning cohorts; outcomes; teaching assets</x:v>
      </x:c>
      <x:c r="L216" s="101" t="str">
        <x:v>Leadership Pack</x:v>
      </x:c>
      <x:c r="M216" s="101" t="str">
        <x:f>IF(B216&lt;='Unlock Map'!$B$11,"Enabled","Locked")</x:f>
        <x:v>Locked</x:v>
      </x:c>
    </x:row>
    <x:row r="217" ht="54" customHeight="1">
      <x:c r="A217" s="105" t="str">
        <x:v>S5-D3-E3</x:v>
      </x:c>
      <x:c r="B217" s="105" t="n">
        <x:v>5</x:v>
      </x:c>
      <x:c r="C217" s="105" t="str">
        <x:v>Thriving</x:v>
      </x:c>
      <x:c r="D217" s="105" t="n">
        <x:v>3</x:v>
      </x:c>
      <x:c r="E217" s="105" t="str">
        <x:v>Education, Skills &amp; Knowledge</x:v>
      </x:c>
      <x:c r="F217" s="105" t="n">
        <x:v>3</x:v>
      </x:c>
      <x:c r="G217" s="105" t="str">
        <x:v>Actions</x:v>
      </x:c>
      <x:c r="H217" s="101" t="str">
        <x:v>Mentorship &amp; Learning Leadership — Develop other people through mentorship, scholarships, teaching systems, and learning communities.</x:v>
      </x:c>
      <x:c r="I217" s="101" t="str">
        <x:v>Mentorship &amp; Learning Leadership Actions</x:v>
      </x:c>
      <x:c r="J217" s="101" t="str">
        <x:v>Turn the mentorship &amp; learning leadership plan into owned tasks, routines, transactions, projects, and follow-ups.</x:v>
      </x:c>
      <x:c r="K217" s="101" t="str">
        <x:v>mentees; mentors; curricula; scholarships; learning cohorts; outcomes; teaching assets</x:v>
      </x:c>
      <x:c r="L217" s="101" t="str">
        <x:v>Leadership Pack</x:v>
      </x:c>
      <x:c r="M217" s="101" t="str">
        <x:f>IF(B217&lt;='Unlock Map'!$B$11,"Enabled","Locked")</x:f>
        <x:v>Locked</x:v>
      </x:c>
    </x:row>
    <x:row r="218" ht="54" customHeight="1">
      <x:c r="A218" s="105" t="str">
        <x:v>S5-D3-E4</x:v>
      </x:c>
      <x:c r="B218" s="105" t="n">
        <x:v>5</x:v>
      </x:c>
      <x:c r="C218" s="105" t="str">
        <x:v>Thriving</x:v>
      </x:c>
      <x:c r="D218" s="105" t="n">
        <x:v>3</x:v>
      </x:c>
      <x:c r="E218" s="105" t="str">
        <x:v>Education, Skills &amp; Knowledge</x:v>
      </x:c>
      <x:c r="F218" s="105" t="n">
        <x:v>4</x:v>
      </x:c>
      <x:c r="G218" s="105" t="str">
        <x:v>Collaboration</x:v>
      </x:c>
      <x:c r="H218" s="101" t="str">
        <x:v>Mentorship &amp; Learning Leadership — Develop other people through mentorship, scholarships, teaching systems, and learning communities.</x:v>
      </x:c>
      <x:c r="I218" s="101" t="str">
        <x:v>Mentorship &amp; Learning Leadership Coordination</x:v>
      </x:c>
      <x:c r="J218" s="101" t="str">
        <x:v>Share roles, messages, approvals, handoffs, and appropriate external access for mentorship &amp; learning leadership.</x:v>
      </x:c>
      <x:c r="K218" s="101" t="str">
        <x:v>mentees; mentors; curricula; scholarships; learning cohorts; outcomes; teaching assets</x:v>
      </x:c>
      <x:c r="L218" s="101" t="str">
        <x:v>Leadership Pack</x:v>
      </x:c>
      <x:c r="M218" s="101" t="str">
        <x:f>IF(B218&lt;='Unlock Map'!$B$11,"Enabled","Locked")</x:f>
        <x:v>Locked</x:v>
      </x:c>
    </x:row>
    <x:row r="219" ht="54" customHeight="1">
      <x:c r="A219" s="105" t="str">
        <x:v>S5-D3-E5</x:v>
      </x:c>
      <x:c r="B219" s="105" t="n">
        <x:v>5</x:v>
      </x:c>
      <x:c r="C219" s="105" t="str">
        <x:v>Thriving</x:v>
      </x:c>
      <x:c r="D219" s="105" t="n">
        <x:v>3</x:v>
      </x:c>
      <x:c r="E219" s="105" t="str">
        <x:v>Education, Skills &amp; Knowledge</x:v>
      </x:c>
      <x:c r="F219" s="105" t="n">
        <x:v>5</x:v>
      </x:c>
      <x:c r="G219" s="105" t="str">
        <x:v>Safeguards</x:v>
      </x:c>
      <x:c r="H219" s="101" t="str">
        <x:v>Mentorship &amp; Learning Leadership — Develop other people through mentorship, scholarships, teaching systems, and learning communities.</x:v>
      </x:c>
      <x:c r="I219" s="101" t="str">
        <x:v>Mentorship &amp; Learning Leadership Controls</x:v>
      </x:c>
      <x:c r="J219" s="101" t="str">
        <x:v>Apply permissions, limits, alerts, evidence, contingency rules, and exception handling to mentorship &amp; learning leadership.</x:v>
      </x:c>
      <x:c r="K219" s="101" t="str">
        <x:v>mentees; mentors; curricula; scholarships; learning cohorts; outcomes; teaching assets</x:v>
      </x:c>
      <x:c r="L219" s="101" t="str">
        <x:v>Leadership Pack</x:v>
      </x:c>
      <x:c r="M219" s="101" t="str">
        <x:f>IF(B219&lt;='Unlock Map'!$B$11,"Enabled","Locked")</x:f>
        <x:v>Locked</x:v>
      </x:c>
    </x:row>
    <x:row r="220" ht="54" customHeight="1">
      <x:c r="A220" s="105" t="str">
        <x:v>S5-D3-E6</x:v>
      </x:c>
      <x:c r="B220" s="105" t="n">
        <x:v>5</x:v>
      </x:c>
      <x:c r="C220" s="105" t="str">
        <x:v>Thriving</x:v>
      </x:c>
      <x:c r="D220" s="105" t="n">
        <x:v>3</x:v>
      </x:c>
      <x:c r="E220" s="105" t="str">
        <x:v>Education, Skills &amp; Knowledge</x:v>
      </x:c>
      <x:c r="F220" s="105" t="n">
        <x:v>6</x:v>
      </x:c>
      <x:c r="G220" s="105" t="str">
        <x:v>Insights</x:v>
      </x:c>
      <x:c r="H220" s="101" t="str">
        <x:v>Mentorship &amp; Learning Leadership — Develop other people through mentorship, scholarships, teaching systems, and learning communities.</x:v>
      </x:c>
      <x:c r="I220" s="101" t="str">
        <x:v>Mentorship &amp; Learning Leadership Review</x:v>
      </x:c>
      <x:c r="J220" s="101" t="str">
        <x:v>Show status, trends, gaps, risks, outcomes, and next decisions for mentorship &amp; learning leadership.</x:v>
      </x:c>
      <x:c r="K220" s="101" t="str">
        <x:v>mentees; mentors; curricula; scholarships; learning cohorts; outcomes; teaching assets</x:v>
      </x:c>
      <x:c r="L220" s="101" t="str">
        <x:v>Leadership Pack</x:v>
      </x:c>
      <x:c r="M220" s="101" t="str">
        <x:f>IF(B220&lt;='Unlock Map'!$B$11,"Enabled","Locked")</x:f>
        <x:v>Locked</x:v>
      </x:c>
    </x:row>
    <x:row r="221" ht="54" customHeight="1">
      <x:c r="A221" s="105" t="str">
        <x:v>S5-D3-E7</x:v>
      </x:c>
      <x:c r="B221" s="105" t="n">
        <x:v>5</x:v>
      </x:c>
      <x:c r="C221" s="105" t="str">
        <x:v>Thriving</x:v>
      </x:c>
      <x:c r="D221" s="105" t="n">
        <x:v>3</x:v>
      </x:c>
      <x:c r="E221" s="105" t="str">
        <x:v>Education, Skills &amp; Knowledge</x:v>
      </x:c>
      <x:c r="F221" s="105" t="n">
        <x:v>7</x:v>
      </x:c>
      <x:c r="G221" s="105" t="str">
        <x:v>Automation</x:v>
      </x:c>
      <x:c r="H221" s="101" t="str">
        <x:v>Mentorship &amp; Learning Leadership — Develop other people through mentorship, scholarships, teaching systems, and learning communities.</x:v>
      </x:c>
      <x:c r="I221" s="101" t="str">
        <x:v>Mentorship &amp; Learning Leadership Automation</x:v>
      </x:c>
      <x:c r="J221" s="101" t="str">
        <x:v>Use recurring rules, integrations, recommendations, and predictive reminders for mentorship &amp; learning leadership.</x:v>
      </x:c>
      <x:c r="K221" s="101" t="str">
        <x:v>mentees; mentors; curricula; scholarships; learning cohorts; outcomes; teaching assets</x:v>
      </x:c>
      <x:c r="L221" s="101" t="str">
        <x:v>Leadership Pack</x:v>
      </x:c>
      <x:c r="M221" s="101" t="str">
        <x:f>IF(B221&lt;='Unlock Map'!$B$11,"Enabled","Locked")</x:f>
        <x:v>Locked</x:v>
      </x:c>
    </x:row>
    <x:row r="222" ht="54" customHeight="1">
      <x:c r="A222" s="105" t="str">
        <x:v>S5-D4-E1</x:v>
      </x:c>
      <x:c r="B222" s="105" t="n">
        <x:v>5</x:v>
      </x:c>
      <x:c r="C222" s="105" t="str">
        <x:v>Thriving</x:v>
      </x:c>
      <x:c r="D222" s="105" t="n">
        <x:v>4</x:v>
      </x:c>
      <x:c r="E222" s="105" t="str">
        <x:v>Home, Utilities &amp; Assets</x:v>
      </x:c>
      <x:c r="F222" s="105" t="n">
        <x:v>1</x:v>
      </x:c>
      <x:c r="G222" s="105" t="str">
        <x:v>Records</x:v>
      </x:c>
      <x:c r="H222" s="101" t="str">
        <x:v>Resilient &amp; Regenerative Home — Create a secure, adaptable, low-waste home system that can withstand disruption and support others.</x:v>
      </x:c>
      <x:c r="I222" s="101" t="str">
        <x:v>Resilient &amp; Regenerative Home Register</x:v>
      </x:c>
      <x:c r="J222" s="101" t="str">
        <x:v>Capture and maintain energy; water; food resilience; backup systems; adaptive spaces; waste; emergency capacity.</x:v>
      </x:c>
      <x:c r="K222" s="101" t="str">
        <x:v>energy; water; food resilience; backup systems; adaptive spaces; waste; emergency capacity</x:v>
      </x:c>
      <x:c r="L222" s="101" t="str">
        <x:v>Leadership Pack</x:v>
      </x:c>
      <x:c r="M222" s="101" t="str">
        <x:f>IF(B222&lt;='Unlock Map'!$B$11,"Enabled","Locked")</x:f>
        <x:v>Locked</x:v>
      </x:c>
    </x:row>
    <x:row r="223" ht="54" customHeight="1">
      <x:c r="A223" s="105" t="str">
        <x:v>S5-D4-E2</x:v>
      </x:c>
      <x:c r="B223" s="105" t="n">
        <x:v>5</x:v>
      </x:c>
      <x:c r="C223" s="105" t="str">
        <x:v>Thriving</x:v>
      </x:c>
      <x:c r="D223" s="105" t="n">
        <x:v>4</x:v>
      </x:c>
      <x:c r="E223" s="105" t="str">
        <x:v>Home, Utilities &amp; Assets</x:v>
      </x:c>
      <x:c r="F223" s="105" t="n">
        <x:v>2</x:v>
      </x:c>
      <x:c r="G223" s="105" t="str">
        <x:v>Plans</x:v>
      </x:c>
      <x:c r="H223" s="101" t="str">
        <x:v>Resilient &amp; Regenerative Home — Create a secure, adaptable, low-waste home system that can withstand disruption and support others.</x:v>
      </x:c>
      <x:c r="I223" s="101" t="str">
        <x:v>Resilient &amp; Regenerative Home Plan</x:v>
      </x:c>
      <x:c r="J223" s="101" t="str">
        <x:v>Set goals, budgets, schedules, thresholds, scenarios, and priorities for resilient &amp; regenerative home.</x:v>
      </x:c>
      <x:c r="K223" s="101" t="str">
        <x:v>energy; water; food resilience; backup systems; adaptive spaces; waste; emergency capacity</x:v>
      </x:c>
      <x:c r="L223" s="101" t="str">
        <x:v>Leadership Pack</x:v>
      </x:c>
      <x:c r="M223" s="101" t="str">
        <x:f>IF(B223&lt;='Unlock Map'!$B$11,"Enabled","Locked")</x:f>
        <x:v>Locked</x:v>
      </x:c>
    </x:row>
    <x:row r="224" ht="54" customHeight="1">
      <x:c r="A224" s="105" t="str">
        <x:v>S5-D4-E3</x:v>
      </x:c>
      <x:c r="B224" s="105" t="n">
        <x:v>5</x:v>
      </x:c>
      <x:c r="C224" s="105" t="str">
        <x:v>Thriving</x:v>
      </x:c>
      <x:c r="D224" s="105" t="n">
        <x:v>4</x:v>
      </x:c>
      <x:c r="E224" s="105" t="str">
        <x:v>Home, Utilities &amp; Assets</x:v>
      </x:c>
      <x:c r="F224" s="105" t="n">
        <x:v>3</x:v>
      </x:c>
      <x:c r="G224" s="105" t="str">
        <x:v>Actions</x:v>
      </x:c>
      <x:c r="H224" s="101" t="str">
        <x:v>Resilient &amp; Regenerative Home — Create a secure, adaptable, low-waste home system that can withstand disruption and support others.</x:v>
      </x:c>
      <x:c r="I224" s="101" t="str">
        <x:v>Resilient &amp; Regenerative Home Actions</x:v>
      </x:c>
      <x:c r="J224" s="101" t="str">
        <x:v>Turn the resilient &amp; regenerative home plan into owned tasks, routines, transactions, projects, and follow-ups.</x:v>
      </x:c>
      <x:c r="K224" s="101" t="str">
        <x:v>energy; water; food resilience; backup systems; adaptive spaces; waste; emergency capacity</x:v>
      </x:c>
      <x:c r="L224" s="101" t="str">
        <x:v>Leadership Pack</x:v>
      </x:c>
      <x:c r="M224" s="101" t="str">
        <x:f>IF(B224&lt;='Unlock Map'!$B$11,"Enabled","Locked")</x:f>
        <x:v>Locked</x:v>
      </x:c>
    </x:row>
    <x:row r="225" ht="54" customHeight="1">
      <x:c r="A225" s="105" t="str">
        <x:v>S5-D4-E4</x:v>
      </x:c>
      <x:c r="B225" s="105" t="n">
        <x:v>5</x:v>
      </x:c>
      <x:c r="C225" s="105" t="str">
        <x:v>Thriving</x:v>
      </x:c>
      <x:c r="D225" s="105" t="n">
        <x:v>4</x:v>
      </x:c>
      <x:c r="E225" s="105" t="str">
        <x:v>Home, Utilities &amp; Assets</x:v>
      </x:c>
      <x:c r="F225" s="105" t="n">
        <x:v>4</x:v>
      </x:c>
      <x:c r="G225" s="105" t="str">
        <x:v>Collaboration</x:v>
      </x:c>
      <x:c r="H225" s="101" t="str">
        <x:v>Resilient &amp; Regenerative Home — Create a secure, adaptable, low-waste home system that can withstand disruption and support others.</x:v>
      </x:c>
      <x:c r="I225" s="101" t="str">
        <x:v>Resilient &amp; Regenerative Home Coordination</x:v>
      </x:c>
      <x:c r="J225" s="101" t="str">
        <x:v>Share roles, messages, approvals, handoffs, and appropriate external access for resilient &amp; regenerative home.</x:v>
      </x:c>
      <x:c r="K225" s="101" t="str">
        <x:v>energy; water; food resilience; backup systems; adaptive spaces; waste; emergency capacity</x:v>
      </x:c>
      <x:c r="L225" s="101" t="str">
        <x:v>Leadership Pack</x:v>
      </x:c>
      <x:c r="M225" s="101" t="str">
        <x:f>IF(B225&lt;='Unlock Map'!$B$11,"Enabled","Locked")</x:f>
        <x:v>Locked</x:v>
      </x:c>
    </x:row>
    <x:row r="226" ht="54" customHeight="1">
      <x:c r="A226" s="105" t="str">
        <x:v>S5-D4-E5</x:v>
      </x:c>
      <x:c r="B226" s="105" t="n">
        <x:v>5</x:v>
      </x:c>
      <x:c r="C226" s="105" t="str">
        <x:v>Thriving</x:v>
      </x:c>
      <x:c r="D226" s="105" t="n">
        <x:v>4</x:v>
      </x:c>
      <x:c r="E226" s="105" t="str">
        <x:v>Home, Utilities &amp; Assets</x:v>
      </x:c>
      <x:c r="F226" s="105" t="n">
        <x:v>5</x:v>
      </x:c>
      <x:c r="G226" s="105" t="str">
        <x:v>Safeguards</x:v>
      </x:c>
      <x:c r="H226" s="101" t="str">
        <x:v>Resilient &amp; Regenerative Home — Create a secure, adaptable, low-waste home system that can withstand disruption and support others.</x:v>
      </x:c>
      <x:c r="I226" s="101" t="str">
        <x:v>Resilient &amp; Regenerative Home Controls</x:v>
      </x:c>
      <x:c r="J226" s="101" t="str">
        <x:v>Apply permissions, limits, alerts, evidence, contingency rules, and exception handling to resilient &amp; regenerative home.</x:v>
      </x:c>
      <x:c r="K226" s="101" t="str">
        <x:v>energy; water; food resilience; backup systems; adaptive spaces; waste; emergency capacity</x:v>
      </x:c>
      <x:c r="L226" s="101" t="str">
        <x:v>Leadership Pack</x:v>
      </x:c>
      <x:c r="M226" s="101" t="str">
        <x:f>IF(B226&lt;='Unlock Map'!$B$11,"Enabled","Locked")</x:f>
        <x:v>Locked</x:v>
      </x:c>
    </x:row>
    <x:row r="227" ht="54" customHeight="1">
      <x:c r="A227" s="105" t="str">
        <x:v>S5-D4-E6</x:v>
      </x:c>
      <x:c r="B227" s="105" t="n">
        <x:v>5</x:v>
      </x:c>
      <x:c r="C227" s="105" t="str">
        <x:v>Thriving</x:v>
      </x:c>
      <x:c r="D227" s="105" t="n">
        <x:v>4</x:v>
      </x:c>
      <x:c r="E227" s="105" t="str">
        <x:v>Home, Utilities &amp; Assets</x:v>
      </x:c>
      <x:c r="F227" s="105" t="n">
        <x:v>6</x:v>
      </x:c>
      <x:c r="G227" s="105" t="str">
        <x:v>Insights</x:v>
      </x:c>
      <x:c r="H227" s="101" t="str">
        <x:v>Resilient &amp; Regenerative Home — Create a secure, adaptable, low-waste home system that can withstand disruption and support others.</x:v>
      </x:c>
      <x:c r="I227" s="101" t="str">
        <x:v>Resilient &amp; Regenerative Home Review</x:v>
      </x:c>
      <x:c r="J227" s="101" t="str">
        <x:v>Show status, trends, gaps, risks, outcomes, and next decisions for resilient &amp; regenerative home.</x:v>
      </x:c>
      <x:c r="K227" s="101" t="str">
        <x:v>energy; water; food resilience; backup systems; adaptive spaces; waste; emergency capacity</x:v>
      </x:c>
      <x:c r="L227" s="101" t="str">
        <x:v>Leadership Pack</x:v>
      </x:c>
      <x:c r="M227" s="101" t="str">
        <x:f>IF(B227&lt;='Unlock Map'!$B$11,"Enabled","Locked")</x:f>
        <x:v>Locked</x:v>
      </x:c>
    </x:row>
    <x:row r="228" ht="54" customHeight="1">
      <x:c r="A228" s="105" t="str">
        <x:v>S5-D4-E7</x:v>
      </x:c>
      <x:c r="B228" s="105" t="n">
        <x:v>5</x:v>
      </x:c>
      <x:c r="C228" s="105" t="str">
        <x:v>Thriving</x:v>
      </x:c>
      <x:c r="D228" s="105" t="n">
        <x:v>4</x:v>
      </x:c>
      <x:c r="E228" s="105" t="str">
        <x:v>Home, Utilities &amp; Assets</x:v>
      </x:c>
      <x:c r="F228" s="105" t="n">
        <x:v>7</x:v>
      </x:c>
      <x:c r="G228" s="105" t="str">
        <x:v>Automation</x:v>
      </x:c>
      <x:c r="H228" s="101" t="str">
        <x:v>Resilient &amp; Regenerative Home — Create a secure, adaptable, low-waste home system that can withstand disruption and support others.</x:v>
      </x:c>
      <x:c r="I228" s="101" t="str">
        <x:v>Resilient &amp; Regenerative Home Automation</x:v>
      </x:c>
      <x:c r="J228" s="101" t="str">
        <x:v>Use recurring rules, integrations, recommendations, and predictive reminders for resilient &amp; regenerative home.</x:v>
      </x:c>
      <x:c r="K228" s="101" t="str">
        <x:v>energy; water; food resilience; backup systems; adaptive spaces; waste; emergency capacity</x:v>
      </x:c>
      <x:c r="L228" s="101" t="str">
        <x:v>Leadership Pack</x:v>
      </x:c>
      <x:c r="M228" s="101" t="str">
        <x:f>IF(B228&lt;='Unlock Map'!$B$11,"Enabled","Locked")</x:f>
        <x:v>Locked</x:v>
      </x:c>
    </x:row>
    <x:row r="229" ht="54" customHeight="1">
      <x:c r="A229" s="105" t="str">
        <x:v>S5-D5-E1</x:v>
      </x:c>
      <x:c r="B229" s="105" t="n">
        <x:v>5</x:v>
      </x:c>
      <x:c r="C229" s="105" t="str">
        <x:v>Thriving</x:v>
      </x:c>
      <x:c r="D229" s="105" t="n">
        <x:v>5</x:v>
      </x:c>
      <x:c r="E229" s="105" t="str">
        <x:v>Food, Time &amp; Daily Operations</x:v>
      </x:c>
      <x:c r="F229" s="105" t="n">
        <x:v>1</x:v>
      </x:c>
      <x:c r="G229" s="105" t="str">
        <x:v>Records</x:v>
      </x:c>
      <x:c r="H229" s="101" t="str">
        <x:v>Operational Excellence &amp; Shared Capacity — Use disciplined systems to free time and resources for high-value family and social work.</x:v>
      </x:c>
      <x:c r="I229" s="101" t="str">
        <x:v>Operational Excellence &amp; Shared Capacity Register</x:v>
      </x:c>
      <x:c r="J229" s="101" t="str">
        <x:v>Capture and maintain service standards; automation; delegated work; shared assets; capacity; bottlenecks; continuous improvement.</x:v>
      </x:c>
      <x:c r="K229" s="101" t="str">
        <x:v>service standards; automation; delegated work; shared assets; capacity; bottlenecks; continuous improvement</x:v>
      </x:c>
      <x:c r="L229" s="101" t="str">
        <x:v>Leadership Pack</x:v>
      </x:c>
      <x:c r="M229" s="101" t="str">
        <x:f>IF(B229&lt;='Unlock Map'!$B$11,"Enabled","Locked")</x:f>
        <x:v>Locked</x:v>
      </x:c>
    </x:row>
    <x:row r="230" ht="54" customHeight="1">
      <x:c r="A230" s="105" t="str">
        <x:v>S5-D5-E2</x:v>
      </x:c>
      <x:c r="B230" s="105" t="n">
        <x:v>5</x:v>
      </x:c>
      <x:c r="C230" s="105" t="str">
        <x:v>Thriving</x:v>
      </x:c>
      <x:c r="D230" s="105" t="n">
        <x:v>5</x:v>
      </x:c>
      <x:c r="E230" s="105" t="str">
        <x:v>Food, Time &amp; Daily Operations</x:v>
      </x:c>
      <x:c r="F230" s="105" t="n">
        <x:v>2</x:v>
      </x:c>
      <x:c r="G230" s="105" t="str">
        <x:v>Plans</x:v>
      </x:c>
      <x:c r="H230" s="101" t="str">
        <x:v>Operational Excellence &amp; Shared Capacity — Use disciplined systems to free time and resources for high-value family and social work.</x:v>
      </x:c>
      <x:c r="I230" s="101" t="str">
        <x:v>Operational Excellence &amp; Shared Capacity Plan</x:v>
      </x:c>
      <x:c r="J230" s="101" t="str">
        <x:v>Set goals, budgets, schedules, thresholds, scenarios, and priorities for operational excellence &amp; shared capacity.</x:v>
      </x:c>
      <x:c r="K230" s="101" t="str">
        <x:v>service standards; automation; delegated work; shared assets; capacity; bottlenecks; continuous improvement</x:v>
      </x:c>
      <x:c r="L230" s="101" t="str">
        <x:v>Leadership Pack</x:v>
      </x:c>
      <x:c r="M230" s="101" t="str">
        <x:f>IF(B230&lt;='Unlock Map'!$B$11,"Enabled","Locked")</x:f>
        <x:v>Locked</x:v>
      </x:c>
    </x:row>
    <x:row r="231" ht="54" customHeight="1">
      <x:c r="A231" s="105" t="str">
        <x:v>S5-D5-E3</x:v>
      </x:c>
      <x:c r="B231" s="105" t="n">
        <x:v>5</x:v>
      </x:c>
      <x:c r="C231" s="105" t="str">
        <x:v>Thriving</x:v>
      </x:c>
      <x:c r="D231" s="105" t="n">
        <x:v>5</x:v>
      </x:c>
      <x:c r="E231" s="105" t="str">
        <x:v>Food, Time &amp; Daily Operations</x:v>
      </x:c>
      <x:c r="F231" s="105" t="n">
        <x:v>3</x:v>
      </x:c>
      <x:c r="G231" s="105" t="str">
        <x:v>Actions</x:v>
      </x:c>
      <x:c r="H231" s="101" t="str">
        <x:v>Operational Excellence &amp; Shared Capacity — Use disciplined systems to free time and resources for high-value family and social work.</x:v>
      </x:c>
      <x:c r="I231" s="101" t="str">
        <x:v>Operational Excellence &amp; Shared Capacity Actions</x:v>
      </x:c>
      <x:c r="J231" s="101" t="str">
        <x:v>Turn the operational excellence &amp; shared capacity plan into owned tasks, routines, transactions, projects, and follow-ups.</x:v>
      </x:c>
      <x:c r="K231" s="101" t="str">
        <x:v>service standards; automation; delegated work; shared assets; capacity; bottlenecks; continuous improvement</x:v>
      </x:c>
      <x:c r="L231" s="101" t="str">
        <x:v>Leadership Pack</x:v>
      </x:c>
      <x:c r="M231" s="101" t="str">
        <x:f>IF(B231&lt;='Unlock Map'!$B$11,"Enabled","Locked")</x:f>
        <x:v>Locked</x:v>
      </x:c>
    </x:row>
    <x:row r="232" ht="54" customHeight="1">
      <x:c r="A232" s="105" t="str">
        <x:v>S5-D5-E4</x:v>
      </x:c>
      <x:c r="B232" s="105" t="n">
        <x:v>5</x:v>
      </x:c>
      <x:c r="C232" s="105" t="str">
        <x:v>Thriving</x:v>
      </x:c>
      <x:c r="D232" s="105" t="n">
        <x:v>5</x:v>
      </x:c>
      <x:c r="E232" s="105" t="str">
        <x:v>Food, Time &amp; Daily Operations</x:v>
      </x:c>
      <x:c r="F232" s="105" t="n">
        <x:v>4</x:v>
      </x:c>
      <x:c r="G232" s="105" t="str">
        <x:v>Collaboration</x:v>
      </x:c>
      <x:c r="H232" s="101" t="str">
        <x:v>Operational Excellence &amp; Shared Capacity — Use disciplined systems to free time and resources for high-value family and social work.</x:v>
      </x:c>
      <x:c r="I232" s="101" t="str">
        <x:v>Operational Excellence &amp; Shared Capacity Coordination</x:v>
      </x:c>
      <x:c r="J232" s="101" t="str">
        <x:v>Share roles, messages, approvals, handoffs, and appropriate external access for operational excellence &amp; shared capacity.</x:v>
      </x:c>
      <x:c r="K232" s="101" t="str">
        <x:v>service standards; automation; delegated work; shared assets; capacity; bottlenecks; continuous improvement</x:v>
      </x:c>
      <x:c r="L232" s="101" t="str">
        <x:v>Leadership Pack</x:v>
      </x:c>
      <x:c r="M232" s="101" t="str">
        <x:f>IF(B232&lt;='Unlock Map'!$B$11,"Enabled","Locked")</x:f>
        <x:v>Locked</x:v>
      </x:c>
    </x:row>
    <x:row r="233" ht="54" customHeight="1">
      <x:c r="A233" s="105" t="str">
        <x:v>S5-D5-E5</x:v>
      </x:c>
      <x:c r="B233" s="105" t="n">
        <x:v>5</x:v>
      </x:c>
      <x:c r="C233" s="105" t="str">
        <x:v>Thriving</x:v>
      </x:c>
      <x:c r="D233" s="105" t="n">
        <x:v>5</x:v>
      </x:c>
      <x:c r="E233" s="105" t="str">
        <x:v>Food, Time &amp; Daily Operations</x:v>
      </x:c>
      <x:c r="F233" s="105" t="n">
        <x:v>5</x:v>
      </x:c>
      <x:c r="G233" s="105" t="str">
        <x:v>Safeguards</x:v>
      </x:c>
      <x:c r="H233" s="101" t="str">
        <x:v>Operational Excellence &amp; Shared Capacity — Use disciplined systems to free time and resources for high-value family and social work.</x:v>
      </x:c>
      <x:c r="I233" s="101" t="str">
        <x:v>Operational Excellence &amp; Shared Capacity Controls</x:v>
      </x:c>
      <x:c r="J233" s="101" t="str">
        <x:v>Apply permissions, limits, alerts, evidence, contingency rules, and exception handling to operational excellence &amp; shared capacity.</x:v>
      </x:c>
      <x:c r="K233" s="101" t="str">
        <x:v>service standards; automation; delegated work; shared assets; capacity; bottlenecks; continuous improvement</x:v>
      </x:c>
      <x:c r="L233" s="101" t="str">
        <x:v>Leadership Pack</x:v>
      </x:c>
      <x:c r="M233" s="101" t="str">
        <x:f>IF(B233&lt;='Unlock Map'!$B$11,"Enabled","Locked")</x:f>
        <x:v>Locked</x:v>
      </x:c>
    </x:row>
    <x:row r="234" ht="54" customHeight="1">
      <x:c r="A234" s="105" t="str">
        <x:v>S5-D5-E6</x:v>
      </x:c>
      <x:c r="B234" s="105" t="n">
        <x:v>5</x:v>
      </x:c>
      <x:c r="C234" s="105" t="str">
        <x:v>Thriving</x:v>
      </x:c>
      <x:c r="D234" s="105" t="n">
        <x:v>5</x:v>
      </x:c>
      <x:c r="E234" s="105" t="str">
        <x:v>Food, Time &amp; Daily Operations</x:v>
      </x:c>
      <x:c r="F234" s="105" t="n">
        <x:v>6</x:v>
      </x:c>
      <x:c r="G234" s="105" t="str">
        <x:v>Insights</x:v>
      </x:c>
      <x:c r="H234" s="101" t="str">
        <x:v>Operational Excellence &amp; Shared Capacity — Use disciplined systems to free time and resources for high-value family and social work.</x:v>
      </x:c>
      <x:c r="I234" s="101" t="str">
        <x:v>Operational Excellence &amp; Shared Capacity Review</x:v>
      </x:c>
      <x:c r="J234" s="101" t="str">
        <x:v>Show status, trends, gaps, risks, outcomes, and next decisions for operational excellence &amp; shared capacity.</x:v>
      </x:c>
      <x:c r="K234" s="101" t="str">
        <x:v>service standards; automation; delegated work; shared assets; capacity; bottlenecks; continuous improvement</x:v>
      </x:c>
      <x:c r="L234" s="101" t="str">
        <x:v>Leadership Pack</x:v>
      </x:c>
      <x:c r="M234" s="101" t="str">
        <x:f>IF(B234&lt;='Unlock Map'!$B$11,"Enabled","Locked")</x:f>
        <x:v>Locked</x:v>
      </x:c>
    </x:row>
    <x:row r="235" ht="54" customHeight="1">
      <x:c r="A235" s="105" t="str">
        <x:v>S5-D5-E7</x:v>
      </x:c>
      <x:c r="B235" s="105" t="n">
        <x:v>5</x:v>
      </x:c>
      <x:c r="C235" s="105" t="str">
        <x:v>Thriving</x:v>
      </x:c>
      <x:c r="D235" s="105" t="n">
        <x:v>5</x:v>
      </x:c>
      <x:c r="E235" s="105" t="str">
        <x:v>Food, Time &amp; Daily Operations</x:v>
      </x:c>
      <x:c r="F235" s="105" t="n">
        <x:v>7</x:v>
      </x:c>
      <x:c r="G235" s="105" t="str">
        <x:v>Automation</x:v>
      </x:c>
      <x:c r="H235" s="101" t="str">
        <x:v>Operational Excellence &amp; Shared Capacity — Use disciplined systems to free time and resources for high-value family and social work.</x:v>
      </x:c>
      <x:c r="I235" s="101" t="str">
        <x:v>Operational Excellence &amp; Shared Capacity Automation</x:v>
      </x:c>
      <x:c r="J235" s="101" t="str">
        <x:v>Use recurring rules, integrations, recommendations, and predictive reminders for operational excellence &amp; shared capacity.</x:v>
      </x:c>
      <x:c r="K235" s="101" t="str">
        <x:v>service standards; automation; delegated work; shared assets; capacity; bottlenecks; continuous improvement</x:v>
      </x:c>
      <x:c r="L235" s="101" t="str">
        <x:v>Leadership Pack</x:v>
      </x:c>
      <x:c r="M235" s="101" t="str">
        <x:f>IF(B235&lt;='Unlock Map'!$B$11,"Enabled","Locked")</x:f>
        <x:v>Locked</x:v>
      </x:c>
    </x:row>
    <x:row r="236" ht="54" customHeight="1">
      <x:c r="A236" s="105" t="str">
        <x:v>S5-D6-E1</x:v>
      </x:c>
      <x:c r="B236" s="105" t="n">
        <x:v>5</x:v>
      </x:c>
      <x:c r="C236" s="105" t="str">
        <x:v>Thriving</x:v>
      </x:c>
      <x:c r="D236" s="105" t="n">
        <x:v>6</x:v>
      </x:c>
      <x:c r="E236" s="105" t="str">
        <x:v>Family, Relationships &amp; Community</x:v>
      </x:c>
      <x:c r="F236" s="105" t="n">
        <x:v>1</x:v>
      </x:c>
      <x:c r="G236" s="105" t="str">
        <x:v>Records</x:v>
      </x:c>
      <x:c r="H236" s="101" t="str">
        <x:v>Cause Leadership &amp; Coalition — Lead a sustained effort with a clear cause, team, resources, governance, and measurable public benefit.</x:v>
      </x:c>
      <x:c r="I236" s="101" t="str">
        <x:v>Cause Leadership &amp; Coalition Register</x:v>
      </x:c>
      <x:c r="J236" s="101" t="str">
        <x:v>Capture and maintain cause; theory of change; volunteers; partners; campaigns; beneficiaries; impact measures.</x:v>
      </x:c>
      <x:c r="K236" s="101" t="str">
        <x:v>cause; theory of change; volunteers; partners; campaigns; beneficiaries; impact measures</x:v>
      </x:c>
      <x:c r="L236" s="101" t="str">
        <x:v>Leadership Pack</x:v>
      </x:c>
      <x:c r="M236" s="101" t="str">
        <x:f>IF(B236&lt;='Unlock Map'!$B$11,"Enabled","Locked")</x:f>
        <x:v>Locked</x:v>
      </x:c>
    </x:row>
    <x:row r="237" ht="54" customHeight="1">
      <x:c r="A237" s="105" t="str">
        <x:v>S5-D6-E2</x:v>
      </x:c>
      <x:c r="B237" s="105" t="n">
        <x:v>5</x:v>
      </x:c>
      <x:c r="C237" s="105" t="str">
        <x:v>Thriving</x:v>
      </x:c>
      <x:c r="D237" s="105" t="n">
        <x:v>6</x:v>
      </x:c>
      <x:c r="E237" s="105" t="str">
        <x:v>Family, Relationships &amp; Community</x:v>
      </x:c>
      <x:c r="F237" s="105" t="n">
        <x:v>2</x:v>
      </x:c>
      <x:c r="G237" s="105" t="str">
        <x:v>Plans</x:v>
      </x:c>
      <x:c r="H237" s="101" t="str">
        <x:v>Cause Leadership &amp; Coalition — Lead a sustained effort with a clear cause, team, resources, governance, and measurable public benefit.</x:v>
      </x:c>
      <x:c r="I237" s="101" t="str">
        <x:v>Cause Leadership &amp; Coalition Plan</x:v>
      </x:c>
      <x:c r="J237" s="101" t="str">
        <x:v>Set goals, budgets, schedules, thresholds, scenarios, and priorities for cause leadership &amp; coalition.</x:v>
      </x:c>
      <x:c r="K237" s="101" t="str">
        <x:v>cause; theory of change; volunteers; partners; campaigns; beneficiaries; impact measures</x:v>
      </x:c>
      <x:c r="L237" s="101" t="str">
        <x:v>Leadership Pack</x:v>
      </x:c>
      <x:c r="M237" s="101" t="str">
        <x:f>IF(B237&lt;='Unlock Map'!$B$11,"Enabled","Locked")</x:f>
        <x:v>Locked</x:v>
      </x:c>
    </x:row>
    <x:row r="238" ht="54" customHeight="1">
      <x:c r="A238" s="105" t="str">
        <x:v>S5-D6-E3</x:v>
      </x:c>
      <x:c r="B238" s="105" t="n">
        <x:v>5</x:v>
      </x:c>
      <x:c r="C238" s="105" t="str">
        <x:v>Thriving</x:v>
      </x:c>
      <x:c r="D238" s="105" t="n">
        <x:v>6</x:v>
      </x:c>
      <x:c r="E238" s="105" t="str">
        <x:v>Family, Relationships &amp; Community</x:v>
      </x:c>
      <x:c r="F238" s="105" t="n">
        <x:v>3</x:v>
      </x:c>
      <x:c r="G238" s="105" t="str">
        <x:v>Actions</x:v>
      </x:c>
      <x:c r="H238" s="101" t="str">
        <x:v>Cause Leadership &amp; Coalition — Lead a sustained effort with a clear cause, team, resources, governance, and measurable public benefit.</x:v>
      </x:c>
      <x:c r="I238" s="101" t="str">
        <x:v>Cause Leadership &amp; Coalition Actions</x:v>
      </x:c>
      <x:c r="J238" s="101" t="str">
        <x:v>Turn the cause leadership &amp; coalition plan into owned tasks, routines, transactions, projects, and follow-ups.</x:v>
      </x:c>
      <x:c r="K238" s="101" t="str">
        <x:v>cause; theory of change; volunteers; partners; campaigns; beneficiaries; impact measures</x:v>
      </x:c>
      <x:c r="L238" s="101" t="str">
        <x:v>Leadership Pack</x:v>
      </x:c>
      <x:c r="M238" s="101" t="str">
        <x:f>IF(B238&lt;='Unlock Map'!$B$11,"Enabled","Locked")</x:f>
        <x:v>Locked</x:v>
      </x:c>
    </x:row>
    <x:row r="239" ht="54" customHeight="1">
      <x:c r="A239" s="105" t="str">
        <x:v>S5-D6-E4</x:v>
      </x:c>
      <x:c r="B239" s="105" t="n">
        <x:v>5</x:v>
      </x:c>
      <x:c r="C239" s="105" t="str">
        <x:v>Thriving</x:v>
      </x:c>
      <x:c r="D239" s="105" t="n">
        <x:v>6</x:v>
      </x:c>
      <x:c r="E239" s="105" t="str">
        <x:v>Family, Relationships &amp; Community</x:v>
      </x:c>
      <x:c r="F239" s="105" t="n">
        <x:v>4</x:v>
      </x:c>
      <x:c r="G239" s="105" t="str">
        <x:v>Collaboration</x:v>
      </x:c>
      <x:c r="H239" s="101" t="str">
        <x:v>Cause Leadership &amp; Coalition — Lead a sustained effort with a clear cause, team, resources, governance, and measurable public benefit.</x:v>
      </x:c>
      <x:c r="I239" s="101" t="str">
        <x:v>Cause Leadership &amp; Coalition Coordination</x:v>
      </x:c>
      <x:c r="J239" s="101" t="str">
        <x:v>Share roles, messages, approvals, handoffs, and appropriate external access for cause leadership &amp; coalition.</x:v>
      </x:c>
      <x:c r="K239" s="101" t="str">
        <x:v>cause; theory of change; volunteers; partners; campaigns; beneficiaries; impact measures</x:v>
      </x:c>
      <x:c r="L239" s="101" t="str">
        <x:v>Leadership Pack</x:v>
      </x:c>
      <x:c r="M239" s="101" t="str">
        <x:f>IF(B239&lt;='Unlock Map'!$B$11,"Enabled","Locked")</x:f>
        <x:v>Locked</x:v>
      </x:c>
    </x:row>
    <x:row r="240" ht="54" customHeight="1">
      <x:c r="A240" s="105" t="str">
        <x:v>S5-D6-E5</x:v>
      </x:c>
      <x:c r="B240" s="105" t="n">
        <x:v>5</x:v>
      </x:c>
      <x:c r="C240" s="105" t="str">
        <x:v>Thriving</x:v>
      </x:c>
      <x:c r="D240" s="105" t="n">
        <x:v>6</x:v>
      </x:c>
      <x:c r="E240" s="105" t="str">
        <x:v>Family, Relationships &amp; Community</x:v>
      </x:c>
      <x:c r="F240" s="105" t="n">
        <x:v>5</x:v>
      </x:c>
      <x:c r="G240" s="105" t="str">
        <x:v>Safeguards</x:v>
      </x:c>
      <x:c r="H240" s="101" t="str">
        <x:v>Cause Leadership &amp; Coalition — Lead a sustained effort with a clear cause, team, resources, governance, and measurable public benefit.</x:v>
      </x:c>
      <x:c r="I240" s="101" t="str">
        <x:v>Cause Leadership &amp; Coalition Controls</x:v>
      </x:c>
      <x:c r="J240" s="101" t="str">
        <x:v>Apply permissions, limits, alerts, evidence, contingency rules, and exception handling to cause leadership &amp; coalition.</x:v>
      </x:c>
      <x:c r="K240" s="101" t="str">
        <x:v>cause; theory of change; volunteers; partners; campaigns; beneficiaries; impact measures</x:v>
      </x:c>
      <x:c r="L240" s="101" t="str">
        <x:v>Leadership Pack</x:v>
      </x:c>
      <x:c r="M240" s="101" t="str">
        <x:f>IF(B240&lt;='Unlock Map'!$B$11,"Enabled","Locked")</x:f>
        <x:v>Locked</x:v>
      </x:c>
    </x:row>
    <x:row r="241" ht="54" customHeight="1">
      <x:c r="A241" s="105" t="str">
        <x:v>S5-D6-E6</x:v>
      </x:c>
      <x:c r="B241" s="105" t="n">
        <x:v>5</x:v>
      </x:c>
      <x:c r="C241" s="105" t="str">
        <x:v>Thriving</x:v>
      </x:c>
      <x:c r="D241" s="105" t="n">
        <x:v>6</x:v>
      </x:c>
      <x:c r="E241" s="105" t="str">
        <x:v>Family, Relationships &amp; Community</x:v>
      </x:c>
      <x:c r="F241" s="105" t="n">
        <x:v>6</x:v>
      </x:c>
      <x:c r="G241" s="105" t="str">
        <x:v>Insights</x:v>
      </x:c>
      <x:c r="H241" s="101" t="str">
        <x:v>Cause Leadership &amp; Coalition — Lead a sustained effort with a clear cause, team, resources, governance, and measurable public benefit.</x:v>
      </x:c>
      <x:c r="I241" s="101" t="str">
        <x:v>Cause Leadership &amp; Coalition Review</x:v>
      </x:c>
      <x:c r="J241" s="101" t="str">
        <x:v>Show status, trends, gaps, risks, outcomes, and next decisions for cause leadership &amp; coalition.</x:v>
      </x:c>
      <x:c r="K241" s="101" t="str">
        <x:v>cause; theory of change; volunteers; partners; campaigns; beneficiaries; impact measures</x:v>
      </x:c>
      <x:c r="L241" s="101" t="str">
        <x:v>Leadership Pack</x:v>
      </x:c>
      <x:c r="M241" s="101" t="str">
        <x:f>IF(B241&lt;='Unlock Map'!$B$11,"Enabled","Locked")</x:f>
        <x:v>Locked</x:v>
      </x:c>
    </x:row>
    <x:row r="242" ht="54" customHeight="1">
      <x:c r="A242" s="105" t="str">
        <x:v>S5-D6-E7</x:v>
      </x:c>
      <x:c r="B242" s="105" t="n">
        <x:v>5</x:v>
      </x:c>
      <x:c r="C242" s="105" t="str">
        <x:v>Thriving</x:v>
      </x:c>
      <x:c r="D242" s="105" t="n">
        <x:v>6</x:v>
      </x:c>
      <x:c r="E242" s="105" t="str">
        <x:v>Family, Relationships &amp; Community</x:v>
      </x:c>
      <x:c r="F242" s="105" t="n">
        <x:v>7</x:v>
      </x:c>
      <x:c r="G242" s="105" t="str">
        <x:v>Automation</x:v>
      </x:c>
      <x:c r="H242" s="101" t="str">
        <x:v>Cause Leadership &amp; Coalition — Lead a sustained effort with a clear cause, team, resources, governance, and measurable public benefit.</x:v>
      </x:c>
      <x:c r="I242" s="101" t="str">
        <x:v>Cause Leadership &amp; Coalition Automation</x:v>
      </x:c>
      <x:c r="J242" s="101" t="str">
        <x:v>Use recurring rules, integrations, recommendations, and predictive reminders for cause leadership &amp; coalition.</x:v>
      </x:c>
      <x:c r="K242" s="101" t="str">
        <x:v>cause; theory of change; volunteers; partners; campaigns; beneficiaries; impact measures</x:v>
      </x:c>
      <x:c r="L242" s="101" t="str">
        <x:v>Leadership Pack</x:v>
      </x:c>
      <x:c r="M242" s="101" t="str">
        <x:f>IF(B242&lt;='Unlock Map'!$B$11,"Enabled","Locked")</x:f>
        <x:v>Locked</x:v>
      </x:c>
    </x:row>
    <x:row r="243" ht="54" customHeight="1">
      <x:c r="A243" s="105" t="str">
        <x:v>S5-D7-E1</x:v>
      </x:c>
      <x:c r="B243" s="105" t="n">
        <x:v>5</x:v>
      </x:c>
      <x:c r="C243" s="105" t="str">
        <x:v>Thriving</x:v>
      </x:c>
      <x:c r="D243" s="105" t="n">
        <x:v>7</x:v>
      </x:c>
      <x:c r="E243" s="105" t="str">
        <x:v>Safety, Legal &amp; Governance</x:v>
      </x:c>
      <x:c r="F243" s="105" t="n">
        <x:v>1</x:v>
      </x:c>
      <x:c r="G243" s="105" t="str">
        <x:v>Records</x:v>
      </x:c>
      <x:c r="H243" s="101" t="str">
        <x:v>Governance, Ethics &amp; Accountability — Ensure leadership remains lawful, transparent, evidence-based, and accountable to affected people.</x:v>
      </x:c>
      <x:c r="I243" s="101" t="str">
        <x:v>Governance, Ethics &amp; Accountability Register</x:v>
      </x:c>
      <x:c r="J243" s="101" t="str">
        <x:v>Capture and maintain board or council; policies; conflicts; disclosures; audits; feedback; impact governance.</x:v>
      </x:c>
      <x:c r="K243" s="101" t="str">
        <x:v>board or council; policies; conflicts; disclosures; audits; feedback; impact governance</x:v>
      </x:c>
      <x:c r="L243" s="101" t="str">
        <x:v>Leadership Pack</x:v>
      </x:c>
      <x:c r="M243" s="101" t="str">
        <x:f>IF(B243&lt;='Unlock Map'!$B$11,"Enabled","Locked")</x:f>
        <x:v>Locked</x:v>
      </x:c>
    </x:row>
    <x:row r="244" ht="54" customHeight="1">
      <x:c r="A244" s="105" t="str">
        <x:v>S5-D7-E2</x:v>
      </x:c>
      <x:c r="B244" s="105" t="n">
        <x:v>5</x:v>
      </x:c>
      <x:c r="C244" s="105" t="str">
        <x:v>Thriving</x:v>
      </x:c>
      <x:c r="D244" s="105" t="n">
        <x:v>7</x:v>
      </x:c>
      <x:c r="E244" s="105" t="str">
        <x:v>Safety, Legal &amp; Governance</x:v>
      </x:c>
      <x:c r="F244" s="105" t="n">
        <x:v>2</x:v>
      </x:c>
      <x:c r="G244" s="105" t="str">
        <x:v>Plans</x:v>
      </x:c>
      <x:c r="H244" s="101" t="str">
        <x:v>Governance, Ethics &amp; Accountability — Ensure leadership remains lawful, transparent, evidence-based, and accountable to affected people.</x:v>
      </x:c>
      <x:c r="I244" s="101" t="str">
        <x:v>Governance, Ethics &amp; Accountability Plan</x:v>
      </x:c>
      <x:c r="J244" s="101" t="str">
        <x:v>Set goals, budgets, schedules, thresholds, scenarios, and priorities for governance, ethics &amp; accountability.</x:v>
      </x:c>
      <x:c r="K244" s="101" t="str">
        <x:v>board or council; policies; conflicts; disclosures; audits; feedback; impact governance</x:v>
      </x:c>
      <x:c r="L244" s="101" t="str">
        <x:v>Leadership Pack</x:v>
      </x:c>
      <x:c r="M244" s="101" t="str">
        <x:f>IF(B244&lt;='Unlock Map'!$B$11,"Enabled","Locked")</x:f>
        <x:v>Locked</x:v>
      </x:c>
    </x:row>
    <x:row r="245" ht="54" customHeight="1">
      <x:c r="A245" s="105" t="str">
        <x:v>S5-D7-E3</x:v>
      </x:c>
      <x:c r="B245" s="105" t="n">
        <x:v>5</x:v>
      </x:c>
      <x:c r="C245" s="105" t="str">
        <x:v>Thriving</x:v>
      </x:c>
      <x:c r="D245" s="105" t="n">
        <x:v>7</x:v>
      </x:c>
      <x:c r="E245" s="105" t="str">
        <x:v>Safety, Legal &amp; Governance</x:v>
      </x:c>
      <x:c r="F245" s="105" t="n">
        <x:v>3</x:v>
      </x:c>
      <x:c r="G245" s="105" t="str">
        <x:v>Actions</x:v>
      </x:c>
      <x:c r="H245" s="101" t="str">
        <x:v>Governance, Ethics &amp; Accountability — Ensure leadership remains lawful, transparent, evidence-based, and accountable to affected people.</x:v>
      </x:c>
      <x:c r="I245" s="101" t="str">
        <x:v>Governance, Ethics &amp; Accountability Actions</x:v>
      </x:c>
      <x:c r="J245" s="101" t="str">
        <x:v>Turn the governance, ethics &amp; accountability plan into owned tasks, routines, transactions, projects, and follow-ups.</x:v>
      </x:c>
      <x:c r="K245" s="101" t="str">
        <x:v>board or council; policies; conflicts; disclosures; audits; feedback; impact governance</x:v>
      </x:c>
      <x:c r="L245" s="101" t="str">
        <x:v>Leadership Pack</x:v>
      </x:c>
      <x:c r="M245" s="101" t="str">
        <x:f>IF(B245&lt;='Unlock Map'!$B$11,"Enabled","Locked")</x:f>
        <x:v>Locked</x:v>
      </x:c>
    </x:row>
    <x:row r="246" ht="54" customHeight="1">
      <x:c r="A246" s="105" t="str">
        <x:v>S5-D7-E4</x:v>
      </x:c>
      <x:c r="B246" s="105" t="n">
        <x:v>5</x:v>
      </x:c>
      <x:c r="C246" s="105" t="str">
        <x:v>Thriving</x:v>
      </x:c>
      <x:c r="D246" s="105" t="n">
        <x:v>7</x:v>
      </x:c>
      <x:c r="E246" s="105" t="str">
        <x:v>Safety, Legal &amp; Governance</x:v>
      </x:c>
      <x:c r="F246" s="105" t="n">
        <x:v>4</x:v>
      </x:c>
      <x:c r="G246" s="105" t="str">
        <x:v>Collaboration</x:v>
      </x:c>
      <x:c r="H246" s="101" t="str">
        <x:v>Governance, Ethics &amp; Accountability — Ensure leadership remains lawful, transparent, evidence-based, and accountable to affected people.</x:v>
      </x:c>
      <x:c r="I246" s="101" t="str">
        <x:v>Governance, Ethics &amp; Accountability Coordination</x:v>
      </x:c>
      <x:c r="J246" s="101" t="str">
        <x:v>Share roles, messages, approvals, handoffs, and appropriate external access for governance, ethics &amp; accountability.</x:v>
      </x:c>
      <x:c r="K246" s="101" t="str">
        <x:v>board or council; policies; conflicts; disclosures; audits; feedback; impact governance</x:v>
      </x:c>
      <x:c r="L246" s="101" t="str">
        <x:v>Leadership Pack</x:v>
      </x:c>
      <x:c r="M246" s="101" t="str">
        <x:f>IF(B246&lt;='Unlock Map'!$B$11,"Enabled","Locked")</x:f>
        <x:v>Locked</x:v>
      </x:c>
    </x:row>
    <x:row r="247" ht="54" customHeight="1">
      <x:c r="A247" s="105" t="str">
        <x:v>S5-D7-E5</x:v>
      </x:c>
      <x:c r="B247" s="105" t="n">
        <x:v>5</x:v>
      </x:c>
      <x:c r="C247" s="105" t="str">
        <x:v>Thriving</x:v>
      </x:c>
      <x:c r="D247" s="105" t="n">
        <x:v>7</x:v>
      </x:c>
      <x:c r="E247" s="105" t="str">
        <x:v>Safety, Legal &amp; Governance</x:v>
      </x:c>
      <x:c r="F247" s="105" t="n">
        <x:v>5</x:v>
      </x:c>
      <x:c r="G247" s="105" t="str">
        <x:v>Safeguards</x:v>
      </x:c>
      <x:c r="H247" s="101" t="str">
        <x:v>Governance, Ethics &amp; Accountability — Ensure leadership remains lawful, transparent, evidence-based, and accountable to affected people.</x:v>
      </x:c>
      <x:c r="I247" s="101" t="str">
        <x:v>Governance, Ethics &amp; Accountability Controls</x:v>
      </x:c>
      <x:c r="J247" s="101" t="str">
        <x:v>Apply permissions, limits, alerts, evidence, contingency rules, and exception handling to governance, ethics &amp; accountability.</x:v>
      </x:c>
      <x:c r="K247" s="101" t="str">
        <x:v>board or council; policies; conflicts; disclosures; audits; feedback; impact governance</x:v>
      </x:c>
      <x:c r="L247" s="101" t="str">
        <x:v>Leadership Pack</x:v>
      </x:c>
      <x:c r="M247" s="101" t="str">
        <x:f>IF(B247&lt;='Unlock Map'!$B$11,"Enabled","Locked")</x:f>
        <x:v>Locked</x:v>
      </x:c>
    </x:row>
    <x:row r="248" ht="54" customHeight="1">
      <x:c r="A248" s="105" t="str">
        <x:v>S5-D7-E6</x:v>
      </x:c>
      <x:c r="B248" s="105" t="n">
        <x:v>5</x:v>
      </x:c>
      <x:c r="C248" s="105" t="str">
        <x:v>Thriving</x:v>
      </x:c>
      <x:c r="D248" s="105" t="n">
        <x:v>7</x:v>
      </x:c>
      <x:c r="E248" s="105" t="str">
        <x:v>Safety, Legal &amp; Governance</x:v>
      </x:c>
      <x:c r="F248" s="105" t="n">
        <x:v>6</x:v>
      </x:c>
      <x:c r="G248" s="105" t="str">
        <x:v>Insights</x:v>
      </x:c>
      <x:c r="H248" s="101" t="str">
        <x:v>Governance, Ethics &amp; Accountability — Ensure leadership remains lawful, transparent, evidence-based, and accountable to affected people.</x:v>
      </x:c>
      <x:c r="I248" s="101" t="str">
        <x:v>Governance, Ethics &amp; Accountability Review</x:v>
      </x:c>
      <x:c r="J248" s="101" t="str">
        <x:v>Show status, trends, gaps, risks, outcomes, and next decisions for governance, ethics &amp; accountability.</x:v>
      </x:c>
      <x:c r="K248" s="101" t="str">
        <x:v>board or council; policies; conflicts; disclosures; audits; feedback; impact governance</x:v>
      </x:c>
      <x:c r="L248" s="101" t="str">
        <x:v>Leadership Pack</x:v>
      </x:c>
      <x:c r="M248" s="101" t="str">
        <x:f>IF(B248&lt;='Unlock Map'!$B$11,"Enabled","Locked")</x:f>
        <x:v>Locked</x:v>
      </x:c>
    </x:row>
    <x:row r="249" ht="54" customHeight="1">
      <x:c r="A249" s="105" t="str">
        <x:v>S5-D7-E7</x:v>
      </x:c>
      <x:c r="B249" s="105" t="n">
        <x:v>5</x:v>
      </x:c>
      <x:c r="C249" s="105" t="str">
        <x:v>Thriving</x:v>
      </x:c>
      <x:c r="D249" s="105" t="n">
        <x:v>7</x:v>
      </x:c>
      <x:c r="E249" s="105" t="str">
        <x:v>Safety, Legal &amp; Governance</x:v>
      </x:c>
      <x:c r="F249" s="105" t="n">
        <x:v>7</x:v>
      </x:c>
      <x:c r="G249" s="105" t="str">
        <x:v>Automation</x:v>
      </x:c>
      <x:c r="H249" s="101" t="str">
        <x:v>Governance, Ethics &amp; Accountability — Ensure leadership remains lawful, transparent, evidence-based, and accountable to affected people.</x:v>
      </x:c>
      <x:c r="I249" s="101" t="str">
        <x:v>Governance, Ethics &amp; Accountability Automation</x:v>
      </x:c>
      <x:c r="J249" s="101" t="str">
        <x:v>Use recurring rules, integrations, recommendations, and predictive reminders for governance, ethics &amp; accountability.</x:v>
      </x:c>
      <x:c r="K249" s="101" t="str">
        <x:v>board or council; policies; conflicts; disclosures; audits; feedback; impact governance</x:v>
      </x:c>
      <x:c r="L249" s="101" t="str">
        <x:v>Leadership Pack</x:v>
      </x:c>
      <x:c r="M249" s="101" t="str">
        <x:f>IF(B249&lt;='Unlock Map'!$B$11,"Enabled","Locked")</x:f>
        <x:v>Locked</x:v>
      </x:c>
    </x:row>
    <x:row r="250" ht="54" customHeight="1">
      <x:c r="A250" s="106" t="str">
        <x:v>S6-D1-E1</x:v>
      </x:c>
      <x:c r="B250" s="106" t="n">
        <x:v>6</x:v>
      </x:c>
      <x:c r="C250" s="106" t="str">
        <x:v>Yielding</x:v>
      </x:c>
      <x:c r="D250" s="106" t="n">
        <x:v>1</x:v>
      </x:c>
      <x:c r="E250" s="106" t="str">
        <x:v>Finance, Work &amp; Wealth</x:v>
      </x:c>
      <x:c r="F250" s="106" t="n">
        <x:v>1</x:v>
      </x:c>
      <x:c r="G250" s="106" t="str">
        <x:v>Records</x:v>
      </x:c>
      <x:c r="H250" s="102" t="str">
        <x:v>Multigenerational Wealth &amp; Inheritance — Transfer assets, financial capability, opportunity, and stewardship without creating dependence or conflict.</x:v>
      </x:c>
      <x:c r="I250" s="102" t="str">
        <x:v>Multigenerational Wealth &amp; Inheritance Register</x:v>
      </x:c>
      <x:c r="J250" s="102" t="str">
        <x:v>Capture and maintain estate assets; beneficiaries; trusts; gifts; education funds; inheritance rules; stewardship skills.</x:v>
      </x:c>
      <x:c r="K250" s="102" t="str">
        <x:v>estate assets; beneficiaries; trusts; gifts; education funds; inheritance rules; stewardship skills</x:v>
      </x:c>
      <x:c r="L250" s="102" t="str">
        <x:v>Generational Pack</x:v>
      </x:c>
      <x:c r="M250" s="102" t="str">
        <x:f>IF(B250&lt;='Unlock Map'!$B$11,"Enabled","Locked")</x:f>
        <x:v>Locked</x:v>
      </x:c>
    </x:row>
    <x:row r="251" ht="54" customHeight="1">
      <x:c r="A251" s="107" t="str">
        <x:v>S6-D1-E2</x:v>
      </x:c>
      <x:c r="B251" s="107" t="n">
        <x:v>6</x:v>
      </x:c>
      <x:c r="C251" s="107" t="str">
        <x:v>Yielding</x:v>
      </x:c>
      <x:c r="D251" s="107" t="n">
        <x:v>1</x:v>
      </x:c>
      <x:c r="E251" s="107" t="str">
        <x:v>Finance, Work &amp; Wealth</x:v>
      </x:c>
      <x:c r="F251" s="107" t="n">
        <x:v>2</x:v>
      </x:c>
      <x:c r="G251" s="107" t="str">
        <x:v>Plans</x:v>
      </x:c>
      <x:c r="H251" s="103" t="str">
        <x:v>Multigenerational Wealth &amp; Inheritance — Transfer assets, financial capability, opportunity, and stewardship without creating dependence or conflict.</x:v>
      </x:c>
      <x:c r="I251" s="103" t="str">
        <x:v>Multigenerational Wealth &amp; Inheritance Plan</x:v>
      </x:c>
      <x:c r="J251" s="103" t="str">
        <x:v>Set goals, budgets, schedules, thresholds, scenarios, and priorities for multigenerational wealth &amp; inheritance.</x:v>
      </x:c>
      <x:c r="K251" s="103" t="str">
        <x:v>estate assets; beneficiaries; trusts; gifts; education funds; inheritance rules; stewardship skills</x:v>
      </x:c>
      <x:c r="L251" s="103" t="str">
        <x:v>Generational Pack</x:v>
      </x:c>
      <x:c r="M251" s="103" t="str">
        <x:f>IF(B251&lt;='Unlock Map'!$B$11,"Enabled","Locked")</x:f>
        <x:v>Locked</x:v>
      </x:c>
    </x:row>
    <x:row r="252" ht="54" customHeight="1">
      <x:c r="A252" s="107" t="str">
        <x:v>S6-D1-E3</x:v>
      </x:c>
      <x:c r="B252" s="107" t="n">
        <x:v>6</x:v>
      </x:c>
      <x:c r="C252" s="107" t="str">
        <x:v>Yielding</x:v>
      </x:c>
      <x:c r="D252" s="107" t="n">
        <x:v>1</x:v>
      </x:c>
      <x:c r="E252" s="107" t="str">
        <x:v>Finance, Work &amp; Wealth</x:v>
      </x:c>
      <x:c r="F252" s="107" t="n">
        <x:v>3</x:v>
      </x:c>
      <x:c r="G252" s="107" t="str">
        <x:v>Actions</x:v>
      </x:c>
      <x:c r="H252" s="103" t="str">
        <x:v>Multigenerational Wealth &amp; Inheritance — Transfer assets, financial capability, opportunity, and stewardship without creating dependence or conflict.</x:v>
      </x:c>
      <x:c r="I252" s="103" t="str">
        <x:v>Multigenerational Wealth &amp; Inheritance Actions</x:v>
      </x:c>
      <x:c r="J252" s="103" t="str">
        <x:v>Turn the multigenerational wealth &amp; inheritance plan into owned tasks, routines, transactions, projects, and follow-ups.</x:v>
      </x:c>
      <x:c r="K252" s="103" t="str">
        <x:v>estate assets; beneficiaries; trusts; gifts; education funds; inheritance rules; stewardship skills</x:v>
      </x:c>
      <x:c r="L252" s="103" t="str">
        <x:v>Generational Pack</x:v>
      </x:c>
      <x:c r="M252" s="103" t="str">
        <x:f>IF(B252&lt;='Unlock Map'!$B$11,"Enabled","Locked")</x:f>
        <x:v>Locked</x:v>
      </x:c>
    </x:row>
    <x:row r="253" ht="54" customHeight="1">
      <x:c r="A253" s="107" t="str">
        <x:v>S6-D1-E4</x:v>
      </x:c>
      <x:c r="B253" s="107" t="n">
        <x:v>6</x:v>
      </x:c>
      <x:c r="C253" s="107" t="str">
        <x:v>Yielding</x:v>
      </x:c>
      <x:c r="D253" s="107" t="n">
        <x:v>1</x:v>
      </x:c>
      <x:c r="E253" s="107" t="str">
        <x:v>Finance, Work &amp; Wealth</x:v>
      </x:c>
      <x:c r="F253" s="107" t="n">
        <x:v>4</x:v>
      </x:c>
      <x:c r="G253" s="107" t="str">
        <x:v>Collaboration</x:v>
      </x:c>
      <x:c r="H253" s="103" t="str">
        <x:v>Multigenerational Wealth &amp; Inheritance — Transfer assets, financial capability, opportunity, and stewardship without creating dependence or conflict.</x:v>
      </x:c>
      <x:c r="I253" s="103" t="str">
        <x:v>Multigenerational Wealth &amp; Inheritance Coordination</x:v>
      </x:c>
      <x:c r="J253" s="103" t="str">
        <x:v>Share roles, messages, approvals, handoffs, and appropriate external access for multigenerational wealth &amp; inheritance.</x:v>
      </x:c>
      <x:c r="K253" s="103" t="str">
        <x:v>estate assets; beneficiaries; trusts; gifts; education funds; inheritance rules; stewardship skills</x:v>
      </x:c>
      <x:c r="L253" s="103" t="str">
        <x:v>Generational Pack</x:v>
      </x:c>
      <x:c r="M253" s="103" t="str">
        <x:f>IF(B253&lt;='Unlock Map'!$B$11,"Enabled","Locked")</x:f>
        <x:v>Locked</x:v>
      </x:c>
    </x:row>
    <x:row r="254" ht="54" customHeight="1">
      <x:c r="A254" s="107" t="str">
        <x:v>S6-D1-E5</x:v>
      </x:c>
      <x:c r="B254" s="107" t="n">
        <x:v>6</x:v>
      </x:c>
      <x:c r="C254" s="107" t="str">
        <x:v>Yielding</x:v>
      </x:c>
      <x:c r="D254" s="107" t="n">
        <x:v>1</x:v>
      </x:c>
      <x:c r="E254" s="107" t="str">
        <x:v>Finance, Work &amp; Wealth</x:v>
      </x:c>
      <x:c r="F254" s="107" t="n">
        <x:v>5</x:v>
      </x:c>
      <x:c r="G254" s="107" t="str">
        <x:v>Safeguards</x:v>
      </x:c>
      <x:c r="H254" s="103" t="str">
        <x:v>Multigenerational Wealth &amp; Inheritance — Transfer assets, financial capability, opportunity, and stewardship without creating dependence or conflict.</x:v>
      </x:c>
      <x:c r="I254" s="103" t="str">
        <x:v>Multigenerational Wealth &amp; Inheritance Controls</x:v>
      </x:c>
      <x:c r="J254" s="103" t="str">
        <x:v>Apply permissions, limits, alerts, evidence, contingency rules, and exception handling to multigenerational wealth &amp; inheritance.</x:v>
      </x:c>
      <x:c r="K254" s="103" t="str">
        <x:v>estate assets; beneficiaries; trusts; gifts; education funds; inheritance rules; stewardship skills</x:v>
      </x:c>
      <x:c r="L254" s="103" t="str">
        <x:v>Generational Pack</x:v>
      </x:c>
      <x:c r="M254" s="103" t="str">
        <x:f>IF(B254&lt;='Unlock Map'!$B$11,"Enabled","Locked")</x:f>
        <x:v>Locked</x:v>
      </x:c>
    </x:row>
    <x:row r="255" ht="54" customHeight="1">
      <x:c r="A255" s="107" t="str">
        <x:v>S6-D1-E6</x:v>
      </x:c>
      <x:c r="B255" s="107" t="n">
        <x:v>6</x:v>
      </x:c>
      <x:c r="C255" s="107" t="str">
        <x:v>Yielding</x:v>
      </x:c>
      <x:c r="D255" s="107" t="n">
        <x:v>1</x:v>
      </x:c>
      <x:c r="E255" s="107" t="str">
        <x:v>Finance, Work &amp; Wealth</x:v>
      </x:c>
      <x:c r="F255" s="107" t="n">
        <x:v>6</x:v>
      </x:c>
      <x:c r="G255" s="107" t="str">
        <x:v>Insights</x:v>
      </x:c>
      <x:c r="H255" s="103" t="str">
        <x:v>Multigenerational Wealth &amp; Inheritance — Transfer assets, financial capability, opportunity, and stewardship without creating dependence or conflict.</x:v>
      </x:c>
      <x:c r="I255" s="103" t="str">
        <x:v>Multigenerational Wealth &amp; Inheritance Review</x:v>
      </x:c>
      <x:c r="J255" s="103" t="str">
        <x:v>Show status, trends, gaps, risks, outcomes, and next decisions for multigenerational wealth &amp; inheritance.</x:v>
      </x:c>
      <x:c r="K255" s="103" t="str">
        <x:v>estate assets; beneficiaries; trusts; gifts; education funds; inheritance rules; stewardship skills</x:v>
      </x:c>
      <x:c r="L255" s="103" t="str">
        <x:v>Generational Pack</x:v>
      </x:c>
      <x:c r="M255" s="103" t="str">
        <x:f>IF(B255&lt;='Unlock Map'!$B$11,"Enabled","Locked")</x:f>
        <x:v>Locked</x:v>
      </x:c>
    </x:row>
    <x:row r="256" ht="54" customHeight="1">
      <x:c r="A256" s="107" t="str">
        <x:v>S6-D1-E7</x:v>
      </x:c>
      <x:c r="B256" s="107" t="n">
        <x:v>6</x:v>
      </x:c>
      <x:c r="C256" s="107" t="str">
        <x:v>Yielding</x:v>
      </x:c>
      <x:c r="D256" s="107" t="n">
        <x:v>1</x:v>
      </x:c>
      <x:c r="E256" s="107" t="str">
        <x:v>Finance, Work &amp; Wealth</x:v>
      </x:c>
      <x:c r="F256" s="107" t="n">
        <x:v>7</x:v>
      </x:c>
      <x:c r="G256" s="107" t="str">
        <x:v>Automation</x:v>
      </x:c>
      <x:c r="H256" s="103" t="str">
        <x:v>Multigenerational Wealth &amp; Inheritance — Transfer assets, financial capability, opportunity, and stewardship without creating dependence or conflict.</x:v>
      </x:c>
      <x:c r="I256" s="103" t="str">
        <x:v>Multigenerational Wealth &amp; Inheritance Automation</x:v>
      </x:c>
      <x:c r="J256" s="103" t="str">
        <x:v>Use recurring rules, integrations, recommendations, and predictive reminders for multigenerational wealth &amp; inheritance.</x:v>
      </x:c>
      <x:c r="K256" s="103" t="str">
        <x:v>estate assets; beneficiaries; trusts; gifts; education funds; inheritance rules; stewardship skills</x:v>
      </x:c>
      <x:c r="L256" s="103" t="str">
        <x:v>Generational Pack</x:v>
      </x:c>
      <x:c r="M256" s="103" t="str">
        <x:f>IF(B256&lt;='Unlock Map'!$B$11,"Enabled","Locked")</x:f>
        <x:v>Locked</x:v>
      </x:c>
    </x:row>
    <x:row r="257" ht="54" customHeight="1">
      <x:c r="A257" s="107" t="str">
        <x:v>S6-D2-E1</x:v>
      </x:c>
      <x:c r="B257" s="107" t="n">
        <x:v>6</x:v>
      </x:c>
      <x:c r="C257" s="107" t="str">
        <x:v>Yielding</x:v>
      </x:c>
      <x:c r="D257" s="107" t="n">
        <x:v>2</x:v>
      </x:c>
      <x:c r="E257" s="107" t="str">
        <x:v>Health &amp; Care</x:v>
      </x:c>
      <x:c r="F257" s="107" t="n">
        <x:v>1</x:v>
      </x:c>
      <x:c r="G257" s="107" t="str">
        <x:v>Records</x:v>
      </x:c>
      <x:c r="H257" s="103" t="str">
        <x:v>Longevity, Grandchildren &amp; Care — Support healthy aging, grandchildren, new parents, disability, and caregiving across generations.</x:v>
      </x:c>
      <x:c r="I257" s="103" t="str">
        <x:v>Longevity, Grandchildren &amp; Care Register</x:v>
      </x:c>
      <x:c r="J257" s="103" t="str">
        <x:v>Capture and maintain elders; grandchildren; pregnancies; adoption; childcare; care plans; health history.</x:v>
      </x:c>
      <x:c r="K257" s="103" t="str">
        <x:v>elders; grandchildren; pregnancies; adoption; childcare; care plans; health history</x:v>
      </x:c>
      <x:c r="L257" s="103" t="str">
        <x:v>Generational Pack</x:v>
      </x:c>
      <x:c r="M257" s="103" t="str">
        <x:f>IF(B257&lt;='Unlock Map'!$B$11,"Enabled","Locked")</x:f>
        <x:v>Locked</x:v>
      </x:c>
    </x:row>
    <x:row r="258" ht="54" customHeight="1">
      <x:c r="A258" s="107" t="str">
        <x:v>S6-D2-E2</x:v>
      </x:c>
      <x:c r="B258" s="107" t="n">
        <x:v>6</x:v>
      </x:c>
      <x:c r="C258" s="107" t="str">
        <x:v>Yielding</x:v>
      </x:c>
      <x:c r="D258" s="107" t="n">
        <x:v>2</x:v>
      </x:c>
      <x:c r="E258" s="107" t="str">
        <x:v>Health &amp; Care</x:v>
      </x:c>
      <x:c r="F258" s="107" t="n">
        <x:v>2</x:v>
      </x:c>
      <x:c r="G258" s="107" t="str">
        <x:v>Plans</x:v>
      </x:c>
      <x:c r="H258" s="103" t="str">
        <x:v>Longevity, Grandchildren &amp; Care — Support healthy aging, grandchildren, new parents, disability, and caregiving across generations.</x:v>
      </x:c>
      <x:c r="I258" s="103" t="str">
        <x:v>Longevity, Grandchildren &amp; Care Plan</x:v>
      </x:c>
      <x:c r="J258" s="103" t="str">
        <x:v>Set goals, budgets, schedules, thresholds, scenarios, and priorities for longevity, grandchildren &amp; care.</x:v>
      </x:c>
      <x:c r="K258" s="103" t="str">
        <x:v>elders; grandchildren; pregnancies; adoption; childcare; care plans; health history</x:v>
      </x:c>
      <x:c r="L258" s="103" t="str">
        <x:v>Generational Pack</x:v>
      </x:c>
      <x:c r="M258" s="103" t="str">
        <x:f>IF(B258&lt;='Unlock Map'!$B$11,"Enabled","Locked")</x:f>
        <x:v>Locked</x:v>
      </x:c>
    </x:row>
    <x:row r="259" ht="54" customHeight="1">
      <x:c r="A259" s="107" t="str">
        <x:v>S6-D2-E3</x:v>
      </x:c>
      <x:c r="B259" s="107" t="n">
        <x:v>6</x:v>
      </x:c>
      <x:c r="C259" s="107" t="str">
        <x:v>Yielding</x:v>
      </x:c>
      <x:c r="D259" s="107" t="n">
        <x:v>2</x:v>
      </x:c>
      <x:c r="E259" s="107" t="str">
        <x:v>Health &amp; Care</x:v>
      </x:c>
      <x:c r="F259" s="107" t="n">
        <x:v>3</x:v>
      </x:c>
      <x:c r="G259" s="107" t="str">
        <x:v>Actions</x:v>
      </x:c>
      <x:c r="H259" s="103" t="str">
        <x:v>Longevity, Grandchildren &amp; Care — Support healthy aging, grandchildren, new parents, disability, and caregiving across generations.</x:v>
      </x:c>
      <x:c r="I259" s="103" t="str">
        <x:v>Longevity, Grandchildren &amp; Care Actions</x:v>
      </x:c>
      <x:c r="J259" s="103" t="str">
        <x:v>Turn the longevity, grandchildren &amp; care plan into owned tasks, routines, transactions, projects, and follow-ups.</x:v>
      </x:c>
      <x:c r="K259" s="103" t="str">
        <x:v>elders; grandchildren; pregnancies; adoption; childcare; care plans; health history</x:v>
      </x:c>
      <x:c r="L259" s="103" t="str">
        <x:v>Generational Pack</x:v>
      </x:c>
      <x:c r="M259" s="103" t="str">
        <x:f>IF(B259&lt;='Unlock Map'!$B$11,"Enabled","Locked")</x:f>
        <x:v>Locked</x:v>
      </x:c>
    </x:row>
    <x:row r="260" ht="54" customHeight="1">
      <x:c r="A260" s="107" t="str">
        <x:v>S6-D2-E4</x:v>
      </x:c>
      <x:c r="B260" s="107" t="n">
        <x:v>6</x:v>
      </x:c>
      <x:c r="C260" s="107" t="str">
        <x:v>Yielding</x:v>
      </x:c>
      <x:c r="D260" s="107" t="n">
        <x:v>2</x:v>
      </x:c>
      <x:c r="E260" s="107" t="str">
        <x:v>Health &amp; Care</x:v>
      </x:c>
      <x:c r="F260" s="107" t="n">
        <x:v>4</x:v>
      </x:c>
      <x:c r="G260" s="107" t="str">
        <x:v>Collaboration</x:v>
      </x:c>
      <x:c r="H260" s="103" t="str">
        <x:v>Longevity, Grandchildren &amp; Care — Support healthy aging, grandchildren, new parents, disability, and caregiving across generations.</x:v>
      </x:c>
      <x:c r="I260" s="103" t="str">
        <x:v>Longevity, Grandchildren &amp; Care Coordination</x:v>
      </x:c>
      <x:c r="J260" s="103" t="str">
        <x:v>Share roles, messages, approvals, handoffs, and appropriate external access for longevity, grandchildren &amp; care.</x:v>
      </x:c>
      <x:c r="K260" s="103" t="str">
        <x:v>elders; grandchildren; pregnancies; adoption; childcare; care plans; health history</x:v>
      </x:c>
      <x:c r="L260" s="103" t="str">
        <x:v>Generational Pack</x:v>
      </x:c>
      <x:c r="M260" s="103" t="str">
        <x:f>IF(B260&lt;='Unlock Map'!$B$11,"Enabled","Locked")</x:f>
        <x:v>Locked</x:v>
      </x:c>
    </x:row>
    <x:row r="261" ht="54" customHeight="1">
      <x:c r="A261" s="107" t="str">
        <x:v>S6-D2-E5</x:v>
      </x:c>
      <x:c r="B261" s="107" t="n">
        <x:v>6</x:v>
      </x:c>
      <x:c r="C261" s="107" t="str">
        <x:v>Yielding</x:v>
      </x:c>
      <x:c r="D261" s="107" t="n">
        <x:v>2</x:v>
      </x:c>
      <x:c r="E261" s="107" t="str">
        <x:v>Health &amp; Care</x:v>
      </x:c>
      <x:c r="F261" s="107" t="n">
        <x:v>5</x:v>
      </x:c>
      <x:c r="G261" s="107" t="str">
        <x:v>Safeguards</x:v>
      </x:c>
      <x:c r="H261" s="103" t="str">
        <x:v>Longevity, Grandchildren &amp; Care — Support healthy aging, grandchildren, new parents, disability, and caregiving across generations.</x:v>
      </x:c>
      <x:c r="I261" s="103" t="str">
        <x:v>Longevity, Grandchildren &amp; Care Controls</x:v>
      </x:c>
      <x:c r="J261" s="103" t="str">
        <x:v>Apply permissions, limits, alerts, evidence, contingency rules, and exception handling to longevity, grandchildren &amp; care.</x:v>
      </x:c>
      <x:c r="K261" s="103" t="str">
        <x:v>elders; grandchildren; pregnancies; adoption; childcare; care plans; health history</x:v>
      </x:c>
      <x:c r="L261" s="103" t="str">
        <x:v>Generational Pack</x:v>
      </x:c>
      <x:c r="M261" s="103" t="str">
        <x:f>IF(B261&lt;='Unlock Map'!$B$11,"Enabled","Locked")</x:f>
        <x:v>Locked</x:v>
      </x:c>
    </x:row>
    <x:row r="262" ht="54" customHeight="1">
      <x:c r="A262" s="107" t="str">
        <x:v>S6-D2-E6</x:v>
      </x:c>
      <x:c r="B262" s="107" t="n">
        <x:v>6</x:v>
      </x:c>
      <x:c r="C262" s="107" t="str">
        <x:v>Yielding</x:v>
      </x:c>
      <x:c r="D262" s="107" t="n">
        <x:v>2</x:v>
      </x:c>
      <x:c r="E262" s="107" t="str">
        <x:v>Health &amp; Care</x:v>
      </x:c>
      <x:c r="F262" s="107" t="n">
        <x:v>6</x:v>
      </x:c>
      <x:c r="G262" s="107" t="str">
        <x:v>Insights</x:v>
      </x:c>
      <x:c r="H262" s="103" t="str">
        <x:v>Longevity, Grandchildren &amp; Care — Support healthy aging, grandchildren, new parents, disability, and caregiving across generations.</x:v>
      </x:c>
      <x:c r="I262" s="103" t="str">
        <x:v>Longevity, Grandchildren &amp; Care Review</x:v>
      </x:c>
      <x:c r="J262" s="103" t="str">
        <x:v>Show status, trends, gaps, risks, outcomes, and next decisions for longevity, grandchildren &amp; care.</x:v>
      </x:c>
      <x:c r="K262" s="103" t="str">
        <x:v>elders; grandchildren; pregnancies; adoption; childcare; care plans; health history</x:v>
      </x:c>
      <x:c r="L262" s="103" t="str">
        <x:v>Generational Pack</x:v>
      </x:c>
      <x:c r="M262" s="103" t="str">
        <x:f>IF(B262&lt;='Unlock Map'!$B$11,"Enabled","Locked")</x:f>
        <x:v>Locked</x:v>
      </x:c>
    </x:row>
    <x:row r="263" ht="54" customHeight="1">
      <x:c r="A263" s="107" t="str">
        <x:v>S6-D2-E7</x:v>
      </x:c>
      <x:c r="B263" s="107" t="n">
        <x:v>6</x:v>
      </x:c>
      <x:c r="C263" s="107" t="str">
        <x:v>Yielding</x:v>
      </x:c>
      <x:c r="D263" s="107" t="n">
        <x:v>2</x:v>
      </x:c>
      <x:c r="E263" s="107" t="str">
        <x:v>Health &amp; Care</x:v>
      </x:c>
      <x:c r="F263" s="107" t="n">
        <x:v>7</x:v>
      </x:c>
      <x:c r="G263" s="107" t="str">
        <x:v>Automation</x:v>
      </x:c>
      <x:c r="H263" s="103" t="str">
        <x:v>Longevity, Grandchildren &amp; Care — Support healthy aging, grandchildren, new parents, disability, and caregiving across generations.</x:v>
      </x:c>
      <x:c r="I263" s="103" t="str">
        <x:v>Longevity, Grandchildren &amp; Care Automation</x:v>
      </x:c>
      <x:c r="J263" s="103" t="str">
        <x:v>Use recurring rules, integrations, recommendations, and predictive reminders for longevity, grandchildren &amp; care.</x:v>
      </x:c>
      <x:c r="K263" s="103" t="str">
        <x:v>elders; grandchildren; pregnancies; adoption; childcare; care plans; health history</x:v>
      </x:c>
      <x:c r="L263" s="103" t="str">
        <x:v>Generational Pack</x:v>
      </x:c>
      <x:c r="M263" s="103" t="str">
        <x:f>IF(B263&lt;='Unlock Map'!$B$11,"Enabled","Locked")</x:f>
        <x:v>Locked</x:v>
      </x:c>
    </x:row>
    <x:row r="264" ht="54" customHeight="1">
      <x:c r="A264" s="107" t="str">
        <x:v>S6-D3-E1</x:v>
      </x:c>
      <x:c r="B264" s="107" t="n">
        <x:v>6</x:v>
      </x:c>
      <x:c r="C264" s="107" t="str">
        <x:v>Yielding</x:v>
      </x:c>
      <x:c r="D264" s="107" t="n">
        <x:v>3</x:v>
      </x:c>
      <x:c r="E264" s="107" t="str">
        <x:v>Education, Skills &amp; Knowledge</x:v>
      </x:c>
      <x:c r="F264" s="107" t="n">
        <x:v>1</x:v>
      </x:c>
      <x:c r="G264" s="107" t="str">
        <x:v>Records</x:v>
      </x:c>
      <x:c r="H264" s="103" t="str">
        <x:v>Wisdom Transfer &amp; Mentorship — Convert lived experience into accessible stories, guidance, apprenticeships, and reusable knowledge.</x:v>
      </x:c>
      <x:c r="I264" s="103" t="str">
        <x:v>Wisdom Transfer &amp; Mentorship Register</x:v>
      </x:c>
      <x:c r="J264" s="103" t="str">
        <x:v>Capture and maintain family stories; lessons; mentors; apprentices; archives; skill transfer; learning journeys.</x:v>
      </x:c>
      <x:c r="K264" s="103" t="str">
        <x:v>family stories; lessons; mentors; apprentices; archives; skill transfer; learning journeys</x:v>
      </x:c>
      <x:c r="L264" s="103" t="str">
        <x:v>Generational Pack</x:v>
      </x:c>
      <x:c r="M264" s="103" t="str">
        <x:f>IF(B264&lt;='Unlock Map'!$B$11,"Enabled","Locked")</x:f>
        <x:v>Locked</x:v>
      </x:c>
    </x:row>
    <x:row r="265" ht="54" customHeight="1">
      <x:c r="A265" s="107" t="str">
        <x:v>S6-D3-E2</x:v>
      </x:c>
      <x:c r="B265" s="107" t="n">
        <x:v>6</x:v>
      </x:c>
      <x:c r="C265" s="107" t="str">
        <x:v>Yielding</x:v>
      </x:c>
      <x:c r="D265" s="107" t="n">
        <x:v>3</x:v>
      </x:c>
      <x:c r="E265" s="107" t="str">
        <x:v>Education, Skills &amp; Knowledge</x:v>
      </x:c>
      <x:c r="F265" s="107" t="n">
        <x:v>2</x:v>
      </x:c>
      <x:c r="G265" s="107" t="str">
        <x:v>Plans</x:v>
      </x:c>
      <x:c r="H265" s="103" t="str">
        <x:v>Wisdom Transfer &amp; Mentorship — Convert lived experience into accessible stories, guidance, apprenticeships, and reusable knowledge.</x:v>
      </x:c>
      <x:c r="I265" s="103" t="str">
        <x:v>Wisdom Transfer &amp; Mentorship Plan</x:v>
      </x:c>
      <x:c r="J265" s="103" t="str">
        <x:v>Set goals, budgets, schedules, thresholds, scenarios, and priorities for wisdom transfer &amp; mentorship.</x:v>
      </x:c>
      <x:c r="K265" s="103" t="str">
        <x:v>family stories; lessons; mentors; apprentices; archives; skill transfer; learning journeys</x:v>
      </x:c>
      <x:c r="L265" s="103" t="str">
        <x:v>Generational Pack</x:v>
      </x:c>
      <x:c r="M265" s="103" t="str">
        <x:f>IF(B265&lt;='Unlock Map'!$B$11,"Enabled","Locked")</x:f>
        <x:v>Locked</x:v>
      </x:c>
    </x:row>
    <x:row r="266" ht="54" customHeight="1">
      <x:c r="A266" s="107" t="str">
        <x:v>S6-D3-E3</x:v>
      </x:c>
      <x:c r="B266" s="107" t="n">
        <x:v>6</x:v>
      </x:c>
      <x:c r="C266" s="107" t="str">
        <x:v>Yielding</x:v>
      </x:c>
      <x:c r="D266" s="107" t="n">
        <x:v>3</x:v>
      </x:c>
      <x:c r="E266" s="107" t="str">
        <x:v>Education, Skills &amp; Knowledge</x:v>
      </x:c>
      <x:c r="F266" s="107" t="n">
        <x:v>3</x:v>
      </x:c>
      <x:c r="G266" s="107" t="str">
        <x:v>Actions</x:v>
      </x:c>
      <x:c r="H266" s="103" t="str">
        <x:v>Wisdom Transfer &amp; Mentorship — Convert lived experience into accessible stories, guidance, apprenticeships, and reusable knowledge.</x:v>
      </x:c>
      <x:c r="I266" s="103" t="str">
        <x:v>Wisdom Transfer &amp; Mentorship Actions</x:v>
      </x:c>
      <x:c r="J266" s="103" t="str">
        <x:v>Turn the wisdom transfer &amp; mentorship plan into owned tasks, routines, transactions, projects, and follow-ups.</x:v>
      </x:c>
      <x:c r="K266" s="103" t="str">
        <x:v>family stories; lessons; mentors; apprentices; archives; skill transfer; learning journeys</x:v>
      </x:c>
      <x:c r="L266" s="103" t="str">
        <x:v>Generational Pack</x:v>
      </x:c>
      <x:c r="M266" s="103" t="str">
        <x:f>IF(B266&lt;='Unlock Map'!$B$11,"Enabled","Locked")</x:f>
        <x:v>Locked</x:v>
      </x:c>
    </x:row>
    <x:row r="267" ht="54" customHeight="1">
      <x:c r="A267" s="107" t="str">
        <x:v>S6-D3-E4</x:v>
      </x:c>
      <x:c r="B267" s="107" t="n">
        <x:v>6</x:v>
      </x:c>
      <x:c r="C267" s="107" t="str">
        <x:v>Yielding</x:v>
      </x:c>
      <x:c r="D267" s="107" t="n">
        <x:v>3</x:v>
      </x:c>
      <x:c r="E267" s="107" t="str">
        <x:v>Education, Skills &amp; Knowledge</x:v>
      </x:c>
      <x:c r="F267" s="107" t="n">
        <x:v>4</x:v>
      </x:c>
      <x:c r="G267" s="107" t="str">
        <x:v>Collaboration</x:v>
      </x:c>
      <x:c r="H267" s="103" t="str">
        <x:v>Wisdom Transfer &amp; Mentorship — Convert lived experience into accessible stories, guidance, apprenticeships, and reusable knowledge.</x:v>
      </x:c>
      <x:c r="I267" s="103" t="str">
        <x:v>Wisdom Transfer &amp; Mentorship Coordination</x:v>
      </x:c>
      <x:c r="J267" s="103" t="str">
        <x:v>Share roles, messages, approvals, handoffs, and appropriate external access for wisdom transfer &amp; mentorship.</x:v>
      </x:c>
      <x:c r="K267" s="103" t="str">
        <x:v>family stories; lessons; mentors; apprentices; archives; skill transfer; learning journeys</x:v>
      </x:c>
      <x:c r="L267" s="103" t="str">
        <x:v>Generational Pack</x:v>
      </x:c>
      <x:c r="M267" s="103" t="str">
        <x:f>IF(B267&lt;='Unlock Map'!$B$11,"Enabled","Locked")</x:f>
        <x:v>Locked</x:v>
      </x:c>
    </x:row>
    <x:row r="268" ht="54" customHeight="1">
      <x:c r="A268" s="107" t="str">
        <x:v>S6-D3-E5</x:v>
      </x:c>
      <x:c r="B268" s="107" t="n">
        <x:v>6</x:v>
      </x:c>
      <x:c r="C268" s="107" t="str">
        <x:v>Yielding</x:v>
      </x:c>
      <x:c r="D268" s="107" t="n">
        <x:v>3</x:v>
      </x:c>
      <x:c r="E268" s="107" t="str">
        <x:v>Education, Skills &amp; Knowledge</x:v>
      </x:c>
      <x:c r="F268" s="107" t="n">
        <x:v>5</x:v>
      </x:c>
      <x:c r="G268" s="107" t="str">
        <x:v>Safeguards</x:v>
      </x:c>
      <x:c r="H268" s="103" t="str">
        <x:v>Wisdom Transfer &amp; Mentorship — Convert lived experience into accessible stories, guidance, apprenticeships, and reusable knowledge.</x:v>
      </x:c>
      <x:c r="I268" s="103" t="str">
        <x:v>Wisdom Transfer &amp; Mentorship Controls</x:v>
      </x:c>
      <x:c r="J268" s="103" t="str">
        <x:v>Apply permissions, limits, alerts, evidence, contingency rules, and exception handling to wisdom transfer &amp; mentorship.</x:v>
      </x:c>
      <x:c r="K268" s="103" t="str">
        <x:v>family stories; lessons; mentors; apprentices; archives; skill transfer; learning journeys</x:v>
      </x:c>
      <x:c r="L268" s="103" t="str">
        <x:v>Generational Pack</x:v>
      </x:c>
      <x:c r="M268" s="103" t="str">
        <x:f>IF(B268&lt;='Unlock Map'!$B$11,"Enabled","Locked")</x:f>
        <x:v>Locked</x:v>
      </x:c>
    </x:row>
    <x:row r="269" ht="54" customHeight="1">
      <x:c r="A269" s="107" t="str">
        <x:v>S6-D3-E6</x:v>
      </x:c>
      <x:c r="B269" s="107" t="n">
        <x:v>6</x:v>
      </x:c>
      <x:c r="C269" s="107" t="str">
        <x:v>Yielding</x:v>
      </x:c>
      <x:c r="D269" s="107" t="n">
        <x:v>3</x:v>
      </x:c>
      <x:c r="E269" s="107" t="str">
        <x:v>Education, Skills &amp; Knowledge</x:v>
      </x:c>
      <x:c r="F269" s="107" t="n">
        <x:v>6</x:v>
      </x:c>
      <x:c r="G269" s="107" t="str">
        <x:v>Insights</x:v>
      </x:c>
      <x:c r="H269" s="103" t="str">
        <x:v>Wisdom Transfer &amp; Mentorship — Convert lived experience into accessible stories, guidance, apprenticeships, and reusable knowledge.</x:v>
      </x:c>
      <x:c r="I269" s="103" t="str">
        <x:v>Wisdom Transfer &amp; Mentorship Review</x:v>
      </x:c>
      <x:c r="J269" s="103" t="str">
        <x:v>Show status, trends, gaps, risks, outcomes, and next decisions for wisdom transfer &amp; mentorship.</x:v>
      </x:c>
      <x:c r="K269" s="103" t="str">
        <x:v>family stories; lessons; mentors; apprentices; archives; skill transfer; learning journeys</x:v>
      </x:c>
      <x:c r="L269" s="103" t="str">
        <x:v>Generational Pack</x:v>
      </x:c>
      <x:c r="M269" s="103" t="str">
        <x:f>IF(B269&lt;='Unlock Map'!$B$11,"Enabled","Locked")</x:f>
        <x:v>Locked</x:v>
      </x:c>
    </x:row>
    <x:row r="270" ht="54" customHeight="1">
      <x:c r="A270" s="107" t="str">
        <x:v>S6-D3-E7</x:v>
      </x:c>
      <x:c r="B270" s="107" t="n">
        <x:v>6</x:v>
      </x:c>
      <x:c r="C270" s="107" t="str">
        <x:v>Yielding</x:v>
      </x:c>
      <x:c r="D270" s="107" t="n">
        <x:v>3</x:v>
      </x:c>
      <x:c r="E270" s="107" t="str">
        <x:v>Education, Skills &amp; Knowledge</x:v>
      </x:c>
      <x:c r="F270" s="107" t="n">
        <x:v>7</x:v>
      </x:c>
      <x:c r="G270" s="107" t="str">
        <x:v>Automation</x:v>
      </x:c>
      <x:c r="H270" s="103" t="str">
        <x:v>Wisdom Transfer &amp; Mentorship — Convert lived experience into accessible stories, guidance, apprenticeships, and reusable knowledge.</x:v>
      </x:c>
      <x:c r="I270" s="103" t="str">
        <x:v>Wisdom Transfer &amp; Mentorship Automation</x:v>
      </x:c>
      <x:c r="J270" s="103" t="str">
        <x:v>Use recurring rules, integrations, recommendations, and predictive reminders for wisdom transfer &amp; mentorship.</x:v>
      </x:c>
      <x:c r="K270" s="103" t="str">
        <x:v>family stories; lessons; mentors; apprentices; archives; skill transfer; learning journeys</x:v>
      </x:c>
      <x:c r="L270" s="103" t="str">
        <x:v>Generational Pack</x:v>
      </x:c>
      <x:c r="M270" s="103" t="str">
        <x:f>IF(B270&lt;='Unlock Map'!$B$11,"Enabled","Locked")</x:f>
        <x:v>Locked</x:v>
      </x:c>
    </x:row>
    <x:row r="271" ht="54" customHeight="1">
      <x:c r="A271" s="107" t="str">
        <x:v>S6-D4-E1</x:v>
      </x:c>
      <x:c r="B271" s="107" t="n">
        <x:v>6</x:v>
      </x:c>
      <x:c r="C271" s="107" t="str">
        <x:v>Yielding</x:v>
      </x:c>
      <x:c r="D271" s="107" t="n">
        <x:v>4</x:v>
      </x:c>
      <x:c r="E271" s="107" t="str">
        <x:v>Home, Utilities &amp; Assets</x:v>
      </x:c>
      <x:c r="F271" s="107" t="n">
        <x:v>1</x:v>
      </x:c>
      <x:c r="G271" s="107" t="str">
        <x:v>Records</x:v>
      </x:c>
      <x:c r="H271" s="103" t="str">
        <x:v>Multigenerational Homes &amp; Assets — Steward homes, land, tools, and shared assets across several households and life stages.</x:v>
      </x:c>
      <x:c r="I271" s="103" t="str">
        <x:v>Multigenerational Homes &amp; Assets Register</x:v>
      </x:c>
      <x:c r="J271" s="103" t="str">
        <x:v>Capture and maintain properties; occupancy; accessibility; shared assets; maintenance funds; usage rights; transitions.</x:v>
      </x:c>
      <x:c r="K271" s="103" t="str">
        <x:v>properties; occupancy; accessibility; shared assets; maintenance funds; usage rights; transitions</x:v>
      </x:c>
      <x:c r="L271" s="103" t="str">
        <x:v>Generational Pack</x:v>
      </x:c>
      <x:c r="M271" s="103" t="str">
        <x:f>IF(B271&lt;='Unlock Map'!$B$11,"Enabled","Locked")</x:f>
        <x:v>Locked</x:v>
      </x:c>
    </x:row>
    <x:row r="272" ht="54" customHeight="1">
      <x:c r="A272" s="107" t="str">
        <x:v>S6-D4-E2</x:v>
      </x:c>
      <x:c r="B272" s="107" t="n">
        <x:v>6</x:v>
      </x:c>
      <x:c r="C272" s="107" t="str">
        <x:v>Yielding</x:v>
      </x:c>
      <x:c r="D272" s="107" t="n">
        <x:v>4</x:v>
      </x:c>
      <x:c r="E272" s="107" t="str">
        <x:v>Home, Utilities &amp; Assets</x:v>
      </x:c>
      <x:c r="F272" s="107" t="n">
        <x:v>2</x:v>
      </x:c>
      <x:c r="G272" s="107" t="str">
        <x:v>Plans</x:v>
      </x:c>
      <x:c r="H272" s="103" t="str">
        <x:v>Multigenerational Homes &amp; Assets — Steward homes, land, tools, and shared assets across several households and life stages.</x:v>
      </x:c>
      <x:c r="I272" s="103" t="str">
        <x:v>Multigenerational Homes &amp; Assets Plan</x:v>
      </x:c>
      <x:c r="J272" s="103" t="str">
        <x:v>Set goals, budgets, schedules, thresholds, scenarios, and priorities for multigenerational homes &amp; assets.</x:v>
      </x:c>
      <x:c r="K272" s="103" t="str">
        <x:v>properties; occupancy; accessibility; shared assets; maintenance funds; usage rights; transitions</x:v>
      </x:c>
      <x:c r="L272" s="103" t="str">
        <x:v>Generational Pack</x:v>
      </x:c>
      <x:c r="M272" s="103" t="str">
        <x:f>IF(B272&lt;='Unlock Map'!$B$11,"Enabled","Locked")</x:f>
        <x:v>Locked</x:v>
      </x:c>
    </x:row>
    <x:row r="273" ht="54" customHeight="1">
      <x:c r="A273" s="107" t="str">
        <x:v>S6-D4-E3</x:v>
      </x:c>
      <x:c r="B273" s="107" t="n">
        <x:v>6</x:v>
      </x:c>
      <x:c r="C273" s="107" t="str">
        <x:v>Yielding</x:v>
      </x:c>
      <x:c r="D273" s="107" t="n">
        <x:v>4</x:v>
      </x:c>
      <x:c r="E273" s="107" t="str">
        <x:v>Home, Utilities &amp; Assets</x:v>
      </x:c>
      <x:c r="F273" s="107" t="n">
        <x:v>3</x:v>
      </x:c>
      <x:c r="G273" s="107" t="str">
        <x:v>Actions</x:v>
      </x:c>
      <x:c r="H273" s="103" t="str">
        <x:v>Multigenerational Homes &amp; Assets — Steward homes, land, tools, and shared assets across several households and life stages.</x:v>
      </x:c>
      <x:c r="I273" s="103" t="str">
        <x:v>Multigenerational Homes &amp; Assets Actions</x:v>
      </x:c>
      <x:c r="J273" s="103" t="str">
        <x:v>Turn the multigenerational homes &amp; assets plan into owned tasks, routines, transactions, projects, and follow-ups.</x:v>
      </x:c>
      <x:c r="K273" s="103" t="str">
        <x:v>properties; occupancy; accessibility; shared assets; maintenance funds; usage rights; transitions</x:v>
      </x:c>
      <x:c r="L273" s="103" t="str">
        <x:v>Generational Pack</x:v>
      </x:c>
      <x:c r="M273" s="103" t="str">
        <x:f>IF(B273&lt;='Unlock Map'!$B$11,"Enabled","Locked")</x:f>
        <x:v>Locked</x:v>
      </x:c>
    </x:row>
    <x:row r="274" ht="54" customHeight="1">
      <x:c r="A274" s="107" t="str">
        <x:v>S6-D4-E4</x:v>
      </x:c>
      <x:c r="B274" s="107" t="n">
        <x:v>6</x:v>
      </x:c>
      <x:c r="C274" s="107" t="str">
        <x:v>Yielding</x:v>
      </x:c>
      <x:c r="D274" s="107" t="n">
        <x:v>4</x:v>
      </x:c>
      <x:c r="E274" s="107" t="str">
        <x:v>Home, Utilities &amp; Assets</x:v>
      </x:c>
      <x:c r="F274" s="107" t="n">
        <x:v>4</x:v>
      </x:c>
      <x:c r="G274" s="107" t="str">
        <x:v>Collaboration</x:v>
      </x:c>
      <x:c r="H274" s="103" t="str">
        <x:v>Multigenerational Homes &amp; Assets — Steward homes, land, tools, and shared assets across several households and life stages.</x:v>
      </x:c>
      <x:c r="I274" s="103" t="str">
        <x:v>Multigenerational Homes &amp; Assets Coordination</x:v>
      </x:c>
      <x:c r="J274" s="103" t="str">
        <x:v>Share roles, messages, approvals, handoffs, and appropriate external access for multigenerational homes &amp; assets.</x:v>
      </x:c>
      <x:c r="K274" s="103" t="str">
        <x:v>properties; occupancy; accessibility; shared assets; maintenance funds; usage rights; transitions</x:v>
      </x:c>
      <x:c r="L274" s="103" t="str">
        <x:v>Generational Pack</x:v>
      </x:c>
      <x:c r="M274" s="103" t="str">
        <x:f>IF(B274&lt;='Unlock Map'!$B$11,"Enabled","Locked")</x:f>
        <x:v>Locked</x:v>
      </x:c>
    </x:row>
    <x:row r="275" ht="54" customHeight="1">
      <x:c r="A275" s="107" t="str">
        <x:v>S6-D4-E5</x:v>
      </x:c>
      <x:c r="B275" s="107" t="n">
        <x:v>6</x:v>
      </x:c>
      <x:c r="C275" s="107" t="str">
        <x:v>Yielding</x:v>
      </x:c>
      <x:c r="D275" s="107" t="n">
        <x:v>4</x:v>
      </x:c>
      <x:c r="E275" s="107" t="str">
        <x:v>Home, Utilities &amp; Assets</x:v>
      </x:c>
      <x:c r="F275" s="107" t="n">
        <x:v>5</x:v>
      </x:c>
      <x:c r="G275" s="107" t="str">
        <x:v>Safeguards</x:v>
      </x:c>
      <x:c r="H275" s="103" t="str">
        <x:v>Multigenerational Homes &amp; Assets — Steward homes, land, tools, and shared assets across several households and life stages.</x:v>
      </x:c>
      <x:c r="I275" s="103" t="str">
        <x:v>Multigenerational Homes &amp; Assets Controls</x:v>
      </x:c>
      <x:c r="J275" s="103" t="str">
        <x:v>Apply permissions, limits, alerts, evidence, contingency rules, and exception handling to multigenerational homes &amp; assets.</x:v>
      </x:c>
      <x:c r="K275" s="103" t="str">
        <x:v>properties; occupancy; accessibility; shared assets; maintenance funds; usage rights; transitions</x:v>
      </x:c>
      <x:c r="L275" s="103" t="str">
        <x:v>Generational Pack</x:v>
      </x:c>
      <x:c r="M275" s="103" t="str">
        <x:f>IF(B275&lt;='Unlock Map'!$B$11,"Enabled","Locked")</x:f>
        <x:v>Locked</x:v>
      </x:c>
    </x:row>
    <x:row r="276" ht="54" customHeight="1">
      <x:c r="A276" s="107" t="str">
        <x:v>S6-D4-E6</x:v>
      </x:c>
      <x:c r="B276" s="107" t="n">
        <x:v>6</x:v>
      </x:c>
      <x:c r="C276" s="107" t="str">
        <x:v>Yielding</x:v>
      </x:c>
      <x:c r="D276" s="107" t="n">
        <x:v>4</x:v>
      </x:c>
      <x:c r="E276" s="107" t="str">
        <x:v>Home, Utilities &amp; Assets</x:v>
      </x:c>
      <x:c r="F276" s="107" t="n">
        <x:v>6</x:v>
      </x:c>
      <x:c r="G276" s="107" t="str">
        <x:v>Insights</x:v>
      </x:c>
      <x:c r="H276" s="103" t="str">
        <x:v>Multigenerational Homes &amp; Assets — Steward homes, land, tools, and shared assets across several households and life stages.</x:v>
      </x:c>
      <x:c r="I276" s="103" t="str">
        <x:v>Multigenerational Homes &amp; Assets Review</x:v>
      </x:c>
      <x:c r="J276" s="103" t="str">
        <x:v>Show status, trends, gaps, risks, outcomes, and next decisions for multigenerational homes &amp; assets.</x:v>
      </x:c>
      <x:c r="K276" s="103" t="str">
        <x:v>properties; occupancy; accessibility; shared assets; maintenance funds; usage rights; transitions</x:v>
      </x:c>
      <x:c r="L276" s="103" t="str">
        <x:v>Generational Pack</x:v>
      </x:c>
      <x:c r="M276" s="103" t="str">
        <x:f>IF(B276&lt;='Unlock Map'!$B$11,"Enabled","Locked")</x:f>
        <x:v>Locked</x:v>
      </x:c>
    </x:row>
    <x:row r="277" ht="54" customHeight="1">
      <x:c r="A277" s="107" t="str">
        <x:v>S6-D4-E7</x:v>
      </x:c>
      <x:c r="B277" s="107" t="n">
        <x:v>6</x:v>
      </x:c>
      <x:c r="C277" s="107" t="str">
        <x:v>Yielding</x:v>
      </x:c>
      <x:c r="D277" s="107" t="n">
        <x:v>4</x:v>
      </x:c>
      <x:c r="E277" s="107" t="str">
        <x:v>Home, Utilities &amp; Assets</x:v>
      </x:c>
      <x:c r="F277" s="107" t="n">
        <x:v>7</x:v>
      </x:c>
      <x:c r="G277" s="107" t="str">
        <x:v>Automation</x:v>
      </x:c>
      <x:c r="H277" s="103" t="str">
        <x:v>Multigenerational Homes &amp; Assets — Steward homes, land, tools, and shared assets across several households and life stages.</x:v>
      </x:c>
      <x:c r="I277" s="103" t="str">
        <x:v>Multigenerational Homes &amp; Assets Automation</x:v>
      </x:c>
      <x:c r="J277" s="103" t="str">
        <x:v>Use recurring rules, integrations, recommendations, and predictive reminders for multigenerational homes &amp; assets.</x:v>
      </x:c>
      <x:c r="K277" s="103" t="str">
        <x:v>properties; occupancy; accessibility; shared assets; maintenance funds; usage rights; transitions</x:v>
      </x:c>
      <x:c r="L277" s="103" t="str">
        <x:v>Generational Pack</x:v>
      </x:c>
      <x:c r="M277" s="103" t="str">
        <x:f>IF(B277&lt;='Unlock Map'!$B$11,"Enabled","Locked")</x:f>
        <x:v>Locked</x:v>
      </x:c>
    </x:row>
    <x:row r="278" ht="54" customHeight="1">
      <x:c r="A278" s="107" t="str">
        <x:v>S6-D5-E1</x:v>
      </x:c>
      <x:c r="B278" s="107" t="n">
        <x:v>6</x:v>
      </x:c>
      <x:c r="C278" s="107" t="str">
        <x:v>Yielding</x:v>
      </x:c>
      <x:c r="D278" s="107" t="n">
        <x:v>5</x:v>
      </x:c>
      <x:c r="E278" s="107" t="str">
        <x:v>Food, Time &amp; Daily Operations</x:v>
      </x:c>
      <x:c r="F278" s="107" t="n">
        <x:v>1</x:v>
      </x:c>
      <x:c r="G278" s="107" t="str">
        <x:v>Records</x:v>
      </x:c>
      <x:c r="H278" s="103" t="str">
        <x:v>Care Logistics &amp; Family Rituals — Coordinate visits, caregiving, celebrations, rites, reunions, and practical mutual aid across branches.</x:v>
      </x:c>
      <x:c r="I278" s="103" t="str">
        <x:v>Care Logistics &amp; Family Rituals Register</x:v>
      </x:c>
      <x:c r="J278" s="103" t="str">
        <x:v>Capture and maintain care schedules; reunions; rituals; travel; shared tasks; emergency help; family calendar.</x:v>
      </x:c>
      <x:c r="K278" s="103" t="str">
        <x:v>care schedules; reunions; rituals; travel; shared tasks; emergency help; family calendar</x:v>
      </x:c>
      <x:c r="L278" s="103" t="str">
        <x:v>Generational Pack</x:v>
      </x:c>
      <x:c r="M278" s="103" t="str">
        <x:f>IF(B278&lt;='Unlock Map'!$B$11,"Enabled","Locked")</x:f>
        <x:v>Locked</x:v>
      </x:c>
    </x:row>
    <x:row r="279" ht="54" customHeight="1">
      <x:c r="A279" s="107" t="str">
        <x:v>S6-D5-E2</x:v>
      </x:c>
      <x:c r="B279" s="107" t="n">
        <x:v>6</x:v>
      </x:c>
      <x:c r="C279" s="107" t="str">
        <x:v>Yielding</x:v>
      </x:c>
      <x:c r="D279" s="107" t="n">
        <x:v>5</x:v>
      </x:c>
      <x:c r="E279" s="107" t="str">
        <x:v>Food, Time &amp; Daily Operations</x:v>
      </x:c>
      <x:c r="F279" s="107" t="n">
        <x:v>2</x:v>
      </x:c>
      <x:c r="G279" s="107" t="str">
        <x:v>Plans</x:v>
      </x:c>
      <x:c r="H279" s="103" t="str">
        <x:v>Care Logistics &amp; Family Rituals — Coordinate visits, caregiving, celebrations, rites, reunions, and practical mutual aid across branches.</x:v>
      </x:c>
      <x:c r="I279" s="103" t="str">
        <x:v>Care Logistics &amp; Family Rituals Plan</x:v>
      </x:c>
      <x:c r="J279" s="103" t="str">
        <x:v>Set goals, budgets, schedules, thresholds, scenarios, and priorities for care logistics &amp; family rituals.</x:v>
      </x:c>
      <x:c r="K279" s="103" t="str">
        <x:v>care schedules; reunions; rituals; travel; shared tasks; emergency help; family calendar</x:v>
      </x:c>
      <x:c r="L279" s="103" t="str">
        <x:v>Generational Pack</x:v>
      </x:c>
      <x:c r="M279" s="103" t="str">
        <x:f>IF(B279&lt;='Unlock Map'!$B$11,"Enabled","Locked")</x:f>
        <x:v>Locked</x:v>
      </x:c>
    </x:row>
    <x:row r="280" ht="54" customHeight="1">
      <x:c r="A280" s="107" t="str">
        <x:v>S6-D5-E3</x:v>
      </x:c>
      <x:c r="B280" s="107" t="n">
        <x:v>6</x:v>
      </x:c>
      <x:c r="C280" s="107" t="str">
        <x:v>Yielding</x:v>
      </x:c>
      <x:c r="D280" s="107" t="n">
        <x:v>5</x:v>
      </x:c>
      <x:c r="E280" s="107" t="str">
        <x:v>Food, Time &amp; Daily Operations</x:v>
      </x:c>
      <x:c r="F280" s="107" t="n">
        <x:v>3</x:v>
      </x:c>
      <x:c r="G280" s="107" t="str">
        <x:v>Actions</x:v>
      </x:c>
      <x:c r="H280" s="103" t="str">
        <x:v>Care Logistics &amp; Family Rituals — Coordinate visits, caregiving, celebrations, rites, reunions, and practical mutual aid across branches.</x:v>
      </x:c>
      <x:c r="I280" s="103" t="str">
        <x:v>Care Logistics &amp; Family Rituals Actions</x:v>
      </x:c>
      <x:c r="J280" s="103" t="str">
        <x:v>Turn the care logistics &amp; family rituals plan into owned tasks, routines, transactions, projects, and follow-ups.</x:v>
      </x:c>
      <x:c r="K280" s="103" t="str">
        <x:v>care schedules; reunions; rituals; travel; shared tasks; emergency help; family calendar</x:v>
      </x:c>
      <x:c r="L280" s="103" t="str">
        <x:v>Generational Pack</x:v>
      </x:c>
      <x:c r="M280" s="103" t="str">
        <x:f>IF(B280&lt;='Unlock Map'!$B$11,"Enabled","Locked")</x:f>
        <x:v>Locked</x:v>
      </x:c>
    </x:row>
    <x:row r="281" ht="54" customHeight="1">
      <x:c r="A281" s="107" t="str">
        <x:v>S6-D5-E4</x:v>
      </x:c>
      <x:c r="B281" s="107" t="n">
        <x:v>6</x:v>
      </x:c>
      <x:c r="C281" s="107" t="str">
        <x:v>Yielding</x:v>
      </x:c>
      <x:c r="D281" s="107" t="n">
        <x:v>5</x:v>
      </x:c>
      <x:c r="E281" s="107" t="str">
        <x:v>Food, Time &amp; Daily Operations</x:v>
      </x:c>
      <x:c r="F281" s="107" t="n">
        <x:v>4</x:v>
      </x:c>
      <x:c r="G281" s="107" t="str">
        <x:v>Collaboration</x:v>
      </x:c>
      <x:c r="H281" s="103" t="str">
        <x:v>Care Logistics &amp; Family Rituals — Coordinate visits, caregiving, celebrations, rites, reunions, and practical mutual aid across branches.</x:v>
      </x:c>
      <x:c r="I281" s="103" t="str">
        <x:v>Care Logistics &amp; Family Rituals Coordination</x:v>
      </x:c>
      <x:c r="J281" s="103" t="str">
        <x:v>Share roles, messages, approvals, handoffs, and appropriate external access for care logistics &amp; family rituals.</x:v>
      </x:c>
      <x:c r="K281" s="103" t="str">
        <x:v>care schedules; reunions; rituals; travel; shared tasks; emergency help; family calendar</x:v>
      </x:c>
      <x:c r="L281" s="103" t="str">
        <x:v>Generational Pack</x:v>
      </x:c>
      <x:c r="M281" s="103" t="str">
        <x:f>IF(B281&lt;='Unlock Map'!$B$11,"Enabled","Locked")</x:f>
        <x:v>Locked</x:v>
      </x:c>
    </x:row>
    <x:row r="282" ht="54" customHeight="1">
      <x:c r="A282" s="107" t="str">
        <x:v>S6-D5-E5</x:v>
      </x:c>
      <x:c r="B282" s="107" t="n">
        <x:v>6</x:v>
      </x:c>
      <x:c r="C282" s="107" t="str">
        <x:v>Yielding</x:v>
      </x:c>
      <x:c r="D282" s="107" t="n">
        <x:v>5</x:v>
      </x:c>
      <x:c r="E282" s="107" t="str">
        <x:v>Food, Time &amp; Daily Operations</x:v>
      </x:c>
      <x:c r="F282" s="107" t="n">
        <x:v>5</x:v>
      </x:c>
      <x:c r="G282" s="107" t="str">
        <x:v>Safeguards</x:v>
      </x:c>
      <x:c r="H282" s="103" t="str">
        <x:v>Care Logistics &amp; Family Rituals — Coordinate visits, caregiving, celebrations, rites, reunions, and practical mutual aid across branches.</x:v>
      </x:c>
      <x:c r="I282" s="103" t="str">
        <x:v>Care Logistics &amp; Family Rituals Controls</x:v>
      </x:c>
      <x:c r="J282" s="103" t="str">
        <x:v>Apply permissions, limits, alerts, evidence, contingency rules, and exception handling to care logistics &amp; family rituals.</x:v>
      </x:c>
      <x:c r="K282" s="103" t="str">
        <x:v>care schedules; reunions; rituals; travel; shared tasks; emergency help; family calendar</x:v>
      </x:c>
      <x:c r="L282" s="103" t="str">
        <x:v>Generational Pack</x:v>
      </x:c>
      <x:c r="M282" s="103" t="str">
        <x:f>IF(B282&lt;='Unlock Map'!$B$11,"Enabled","Locked")</x:f>
        <x:v>Locked</x:v>
      </x:c>
    </x:row>
    <x:row r="283" ht="54" customHeight="1">
      <x:c r="A283" s="107" t="str">
        <x:v>S6-D5-E6</x:v>
      </x:c>
      <x:c r="B283" s="107" t="n">
        <x:v>6</x:v>
      </x:c>
      <x:c r="C283" s="107" t="str">
        <x:v>Yielding</x:v>
      </x:c>
      <x:c r="D283" s="107" t="n">
        <x:v>5</x:v>
      </x:c>
      <x:c r="E283" s="107" t="str">
        <x:v>Food, Time &amp; Daily Operations</x:v>
      </x:c>
      <x:c r="F283" s="107" t="n">
        <x:v>6</x:v>
      </x:c>
      <x:c r="G283" s="107" t="str">
        <x:v>Insights</x:v>
      </x:c>
      <x:c r="H283" s="103" t="str">
        <x:v>Care Logistics &amp; Family Rituals — Coordinate visits, caregiving, celebrations, rites, reunions, and practical mutual aid across branches.</x:v>
      </x:c>
      <x:c r="I283" s="103" t="str">
        <x:v>Care Logistics &amp; Family Rituals Review</x:v>
      </x:c>
      <x:c r="J283" s="103" t="str">
        <x:v>Show status, trends, gaps, risks, outcomes, and next decisions for care logistics &amp; family rituals.</x:v>
      </x:c>
      <x:c r="K283" s="103" t="str">
        <x:v>care schedules; reunions; rituals; travel; shared tasks; emergency help; family calendar</x:v>
      </x:c>
      <x:c r="L283" s="103" t="str">
        <x:v>Generational Pack</x:v>
      </x:c>
      <x:c r="M283" s="103" t="str">
        <x:f>IF(B283&lt;='Unlock Map'!$B$11,"Enabled","Locked")</x:f>
        <x:v>Locked</x:v>
      </x:c>
    </x:row>
    <x:row r="284" ht="54" customHeight="1">
      <x:c r="A284" s="107" t="str">
        <x:v>S6-D5-E7</x:v>
      </x:c>
      <x:c r="B284" s="107" t="n">
        <x:v>6</x:v>
      </x:c>
      <x:c r="C284" s="107" t="str">
        <x:v>Yielding</x:v>
      </x:c>
      <x:c r="D284" s="107" t="n">
        <x:v>5</x:v>
      </x:c>
      <x:c r="E284" s="107" t="str">
        <x:v>Food, Time &amp; Daily Operations</x:v>
      </x:c>
      <x:c r="F284" s="107" t="n">
        <x:v>7</x:v>
      </x:c>
      <x:c r="G284" s="107" t="str">
        <x:v>Automation</x:v>
      </x:c>
      <x:c r="H284" s="103" t="str">
        <x:v>Care Logistics &amp; Family Rituals — Coordinate visits, caregiving, celebrations, rites, reunions, and practical mutual aid across branches.</x:v>
      </x:c>
      <x:c r="I284" s="103" t="str">
        <x:v>Care Logistics &amp; Family Rituals Automation</x:v>
      </x:c>
      <x:c r="J284" s="103" t="str">
        <x:v>Use recurring rules, integrations, recommendations, and predictive reminders for care logistics &amp; family rituals.</x:v>
      </x:c>
      <x:c r="K284" s="103" t="str">
        <x:v>care schedules; reunions; rituals; travel; shared tasks; emergency help; family calendar</x:v>
      </x:c>
      <x:c r="L284" s="103" t="str">
        <x:v>Generational Pack</x:v>
      </x:c>
      <x:c r="M284" s="103" t="str">
        <x:f>IF(B284&lt;='Unlock Map'!$B$11,"Enabled","Locked")</x:f>
        <x:v>Locked</x:v>
      </x:c>
    </x:row>
    <x:row r="285" ht="54" customHeight="1">
      <x:c r="A285" s="107" t="str">
        <x:v>S6-D6-E1</x:v>
      </x:c>
      <x:c r="B285" s="107" t="n">
        <x:v>6</x:v>
      </x:c>
      <x:c r="C285" s="107" t="str">
        <x:v>Yielding</x:v>
      </x:c>
      <x:c r="D285" s="107" t="n">
        <x:v>6</x:v>
      </x:c>
      <x:c r="E285" s="107" t="str">
        <x:v>Family, Relationships &amp; Community</x:v>
      </x:c>
      <x:c r="F285" s="107" t="n">
        <x:v>1</x:v>
      </x:c>
      <x:c r="G285" s="107" t="str">
        <x:v>Records</x:v>
      </x:c>
      <x:c r="H285" s="103" t="str">
        <x:v>Kinship, Grandchildren &amp; Family Growth — Support new branches while respecting partner choice, parenting autonomy, adoption, and non-parent paths.</x:v>
      </x:c>
      <x:c r="I285" s="103" t="str">
        <x:v>Kinship, Grandchildren &amp; Family Growth Register</x:v>
      </x:c>
      <x:c r="J285" s="103" t="str">
        <x:v>Capture and maintain family branches; partners; grandchildren; chosen kin; support agreements; boundaries; family growth.</x:v>
      </x:c>
      <x:c r="K285" s="103" t="str">
        <x:v>family branches; partners; grandchildren; chosen kin; support agreements; boundaries; family growth</x:v>
      </x:c>
      <x:c r="L285" s="103" t="str">
        <x:v>Generational Pack</x:v>
      </x:c>
      <x:c r="M285" s="103" t="str">
        <x:f>IF(B285&lt;='Unlock Map'!$B$11,"Enabled","Locked")</x:f>
        <x:v>Locked</x:v>
      </x:c>
    </x:row>
    <x:row r="286" ht="54" customHeight="1">
      <x:c r="A286" s="107" t="str">
        <x:v>S6-D6-E2</x:v>
      </x:c>
      <x:c r="B286" s="107" t="n">
        <x:v>6</x:v>
      </x:c>
      <x:c r="C286" s="107" t="str">
        <x:v>Yielding</x:v>
      </x:c>
      <x:c r="D286" s="107" t="n">
        <x:v>6</x:v>
      </x:c>
      <x:c r="E286" s="107" t="str">
        <x:v>Family, Relationships &amp; Community</x:v>
      </x:c>
      <x:c r="F286" s="107" t="n">
        <x:v>2</x:v>
      </x:c>
      <x:c r="G286" s="107" t="str">
        <x:v>Plans</x:v>
      </x:c>
      <x:c r="H286" s="103" t="str">
        <x:v>Kinship, Grandchildren &amp; Family Growth — Support new branches while respecting partner choice, parenting autonomy, adoption, and non-parent paths.</x:v>
      </x:c>
      <x:c r="I286" s="103" t="str">
        <x:v>Kinship, Grandchildren &amp; Family Growth Plan</x:v>
      </x:c>
      <x:c r="J286" s="103" t="str">
        <x:v>Set goals, budgets, schedules, thresholds, scenarios, and priorities for kinship, grandchildren &amp; family growth.</x:v>
      </x:c>
      <x:c r="K286" s="103" t="str">
        <x:v>family branches; partners; grandchildren; chosen kin; support agreements; boundaries; family growth</x:v>
      </x:c>
      <x:c r="L286" s="103" t="str">
        <x:v>Generational Pack</x:v>
      </x:c>
      <x:c r="M286" s="103" t="str">
        <x:f>IF(B286&lt;='Unlock Map'!$B$11,"Enabled","Locked")</x:f>
        <x:v>Locked</x:v>
      </x:c>
    </x:row>
    <x:row r="287" ht="54" customHeight="1">
      <x:c r="A287" s="107" t="str">
        <x:v>S6-D6-E3</x:v>
      </x:c>
      <x:c r="B287" s="107" t="n">
        <x:v>6</x:v>
      </x:c>
      <x:c r="C287" s="107" t="str">
        <x:v>Yielding</x:v>
      </x:c>
      <x:c r="D287" s="107" t="n">
        <x:v>6</x:v>
      </x:c>
      <x:c r="E287" s="107" t="str">
        <x:v>Family, Relationships &amp; Community</x:v>
      </x:c>
      <x:c r="F287" s="107" t="n">
        <x:v>3</x:v>
      </x:c>
      <x:c r="G287" s="107" t="str">
        <x:v>Actions</x:v>
      </x:c>
      <x:c r="H287" s="103" t="str">
        <x:v>Kinship, Grandchildren &amp; Family Growth — Support new branches while respecting partner choice, parenting autonomy, adoption, and non-parent paths.</x:v>
      </x:c>
      <x:c r="I287" s="103" t="str">
        <x:v>Kinship, Grandchildren &amp; Family Growth Actions</x:v>
      </x:c>
      <x:c r="J287" s="103" t="str">
        <x:v>Turn the kinship, grandchildren &amp; family growth plan into owned tasks, routines, transactions, projects, and follow-ups.</x:v>
      </x:c>
      <x:c r="K287" s="103" t="str">
        <x:v>family branches; partners; grandchildren; chosen kin; support agreements; boundaries; family growth</x:v>
      </x:c>
      <x:c r="L287" s="103" t="str">
        <x:v>Generational Pack</x:v>
      </x:c>
      <x:c r="M287" s="103" t="str">
        <x:f>IF(B287&lt;='Unlock Map'!$B$11,"Enabled","Locked")</x:f>
        <x:v>Locked</x:v>
      </x:c>
    </x:row>
    <x:row r="288" ht="54" customHeight="1">
      <x:c r="A288" s="107" t="str">
        <x:v>S6-D6-E4</x:v>
      </x:c>
      <x:c r="B288" s="107" t="n">
        <x:v>6</x:v>
      </x:c>
      <x:c r="C288" s="107" t="str">
        <x:v>Yielding</x:v>
      </x:c>
      <x:c r="D288" s="107" t="n">
        <x:v>6</x:v>
      </x:c>
      <x:c r="E288" s="107" t="str">
        <x:v>Family, Relationships &amp; Community</x:v>
      </x:c>
      <x:c r="F288" s="107" t="n">
        <x:v>4</x:v>
      </x:c>
      <x:c r="G288" s="107" t="str">
        <x:v>Collaboration</x:v>
      </x:c>
      <x:c r="H288" s="103" t="str">
        <x:v>Kinship, Grandchildren &amp; Family Growth — Support new branches while respecting partner choice, parenting autonomy, adoption, and non-parent paths.</x:v>
      </x:c>
      <x:c r="I288" s="103" t="str">
        <x:v>Kinship, Grandchildren &amp; Family Growth Coordination</x:v>
      </x:c>
      <x:c r="J288" s="103" t="str">
        <x:v>Share roles, messages, approvals, handoffs, and appropriate external access for kinship, grandchildren &amp; family growth.</x:v>
      </x:c>
      <x:c r="K288" s="103" t="str">
        <x:v>family branches; partners; grandchildren; chosen kin; support agreements; boundaries; family growth</x:v>
      </x:c>
      <x:c r="L288" s="103" t="str">
        <x:v>Generational Pack</x:v>
      </x:c>
      <x:c r="M288" s="103" t="str">
        <x:f>IF(B288&lt;='Unlock Map'!$B$11,"Enabled","Locked")</x:f>
        <x:v>Locked</x:v>
      </x:c>
    </x:row>
    <x:row r="289" ht="54" customHeight="1">
      <x:c r="A289" s="107" t="str">
        <x:v>S6-D6-E5</x:v>
      </x:c>
      <x:c r="B289" s="107" t="n">
        <x:v>6</x:v>
      </x:c>
      <x:c r="C289" s="107" t="str">
        <x:v>Yielding</x:v>
      </x:c>
      <x:c r="D289" s="107" t="n">
        <x:v>6</x:v>
      </x:c>
      <x:c r="E289" s="107" t="str">
        <x:v>Family, Relationships &amp; Community</x:v>
      </x:c>
      <x:c r="F289" s="107" t="n">
        <x:v>5</x:v>
      </x:c>
      <x:c r="G289" s="107" t="str">
        <x:v>Safeguards</x:v>
      </x:c>
      <x:c r="H289" s="103" t="str">
        <x:v>Kinship, Grandchildren &amp; Family Growth — Support new branches while respecting partner choice, parenting autonomy, adoption, and non-parent paths.</x:v>
      </x:c>
      <x:c r="I289" s="103" t="str">
        <x:v>Kinship, Grandchildren &amp; Family Growth Controls</x:v>
      </x:c>
      <x:c r="J289" s="103" t="str">
        <x:v>Apply permissions, limits, alerts, evidence, contingency rules, and exception handling to kinship, grandchildren &amp; family growth.</x:v>
      </x:c>
      <x:c r="K289" s="103" t="str">
        <x:v>family branches; partners; grandchildren; chosen kin; support agreements; boundaries; family growth</x:v>
      </x:c>
      <x:c r="L289" s="103" t="str">
        <x:v>Generational Pack</x:v>
      </x:c>
      <x:c r="M289" s="103" t="str">
        <x:f>IF(B289&lt;='Unlock Map'!$B$11,"Enabled","Locked")</x:f>
        <x:v>Locked</x:v>
      </x:c>
    </x:row>
    <x:row r="290" ht="54" customHeight="1">
      <x:c r="A290" s="107" t="str">
        <x:v>S6-D6-E6</x:v>
      </x:c>
      <x:c r="B290" s="107" t="n">
        <x:v>6</x:v>
      </x:c>
      <x:c r="C290" s="107" t="str">
        <x:v>Yielding</x:v>
      </x:c>
      <x:c r="D290" s="107" t="n">
        <x:v>6</x:v>
      </x:c>
      <x:c r="E290" s="107" t="str">
        <x:v>Family, Relationships &amp; Community</x:v>
      </x:c>
      <x:c r="F290" s="107" t="n">
        <x:v>6</x:v>
      </x:c>
      <x:c r="G290" s="107" t="str">
        <x:v>Insights</x:v>
      </x:c>
      <x:c r="H290" s="103" t="str">
        <x:v>Kinship, Grandchildren &amp; Family Growth — Support new branches while respecting partner choice, parenting autonomy, adoption, and non-parent paths.</x:v>
      </x:c>
      <x:c r="I290" s="103" t="str">
        <x:v>Kinship, Grandchildren &amp; Family Growth Review</x:v>
      </x:c>
      <x:c r="J290" s="103" t="str">
        <x:v>Show status, trends, gaps, risks, outcomes, and next decisions for kinship, grandchildren &amp; family growth.</x:v>
      </x:c>
      <x:c r="K290" s="103" t="str">
        <x:v>family branches; partners; grandchildren; chosen kin; support agreements; boundaries; family growth</x:v>
      </x:c>
      <x:c r="L290" s="103" t="str">
        <x:v>Generational Pack</x:v>
      </x:c>
      <x:c r="M290" s="103" t="str">
        <x:f>IF(B290&lt;='Unlock Map'!$B$11,"Enabled","Locked")</x:f>
        <x:v>Locked</x:v>
      </x:c>
    </x:row>
    <x:row r="291" ht="54" customHeight="1">
      <x:c r="A291" s="107" t="str">
        <x:v>S6-D6-E7</x:v>
      </x:c>
      <x:c r="B291" s="107" t="n">
        <x:v>6</x:v>
      </x:c>
      <x:c r="C291" s="107" t="str">
        <x:v>Yielding</x:v>
      </x:c>
      <x:c r="D291" s="107" t="n">
        <x:v>6</x:v>
      </x:c>
      <x:c r="E291" s="107" t="str">
        <x:v>Family, Relationships &amp; Community</x:v>
      </x:c>
      <x:c r="F291" s="107" t="n">
        <x:v>7</x:v>
      </x:c>
      <x:c r="G291" s="107" t="str">
        <x:v>Automation</x:v>
      </x:c>
      <x:c r="H291" s="103" t="str">
        <x:v>Kinship, Grandchildren &amp; Family Growth — Support new branches while respecting partner choice, parenting autonomy, adoption, and non-parent paths.</x:v>
      </x:c>
      <x:c r="I291" s="103" t="str">
        <x:v>Kinship, Grandchildren &amp; Family Growth Automation</x:v>
      </x:c>
      <x:c r="J291" s="103" t="str">
        <x:v>Use recurring rules, integrations, recommendations, and predictive reminders for kinship, grandchildren &amp; family growth.</x:v>
      </x:c>
      <x:c r="K291" s="103" t="str">
        <x:v>family branches; partners; grandchildren; chosen kin; support agreements; boundaries; family growth</x:v>
      </x:c>
      <x:c r="L291" s="103" t="str">
        <x:v>Generational Pack</x:v>
      </x:c>
      <x:c r="M291" s="103" t="str">
        <x:f>IF(B291&lt;='Unlock Map'!$B$11,"Enabled","Locked")</x:f>
        <x:v>Locked</x:v>
      </x:c>
    </x:row>
    <x:row r="292" ht="54" customHeight="1">
      <x:c r="A292" s="107" t="str">
        <x:v>S6-D7-E1</x:v>
      </x:c>
      <x:c r="B292" s="107" t="n">
        <x:v>6</x:v>
      </x:c>
      <x:c r="C292" s="107" t="str">
        <x:v>Yielding</x:v>
      </x:c>
      <x:c r="D292" s="107" t="n">
        <x:v>7</x:v>
      </x:c>
      <x:c r="E292" s="107" t="str">
        <x:v>Safety, Legal &amp; Governance</x:v>
      </x:c>
      <x:c r="F292" s="107" t="n">
        <x:v>1</x:v>
      </x:c>
      <x:c r="G292" s="107" t="str">
        <x:v>Records</x:v>
      </x:c>
      <x:c r="H292" s="103" t="str">
        <x:v>Succession, Wills &amp; Family Governance — Prepare legal, financial, operational, and relational succession before crisis makes decisions unavoidable.</x:v>
      </x:c>
      <x:c r="I292" s="103" t="str">
        <x:v>Succession, Wills &amp; Family Governance Register</x:v>
      </x:c>
      <x:c r="J292" s="103" t="str">
        <x:v>Capture and maintain wills; nominations; powers of attorney; trusts; succession roles; family council; dispute process.</x:v>
      </x:c>
      <x:c r="K292" s="103" t="str">
        <x:v>wills; nominations; powers of attorney; trusts; succession roles; family council; dispute process</x:v>
      </x:c>
      <x:c r="L292" s="103" t="str">
        <x:v>Generational Pack</x:v>
      </x:c>
      <x:c r="M292" s="103" t="str">
        <x:f>IF(B292&lt;='Unlock Map'!$B$11,"Enabled","Locked")</x:f>
        <x:v>Locked</x:v>
      </x:c>
    </x:row>
    <x:row r="293" ht="54" customHeight="1">
      <x:c r="A293" s="107" t="str">
        <x:v>S6-D7-E2</x:v>
      </x:c>
      <x:c r="B293" s="107" t="n">
        <x:v>6</x:v>
      </x:c>
      <x:c r="C293" s="107" t="str">
        <x:v>Yielding</x:v>
      </x:c>
      <x:c r="D293" s="107" t="n">
        <x:v>7</x:v>
      </x:c>
      <x:c r="E293" s="107" t="str">
        <x:v>Safety, Legal &amp; Governance</x:v>
      </x:c>
      <x:c r="F293" s="107" t="n">
        <x:v>2</x:v>
      </x:c>
      <x:c r="G293" s="107" t="str">
        <x:v>Plans</x:v>
      </x:c>
      <x:c r="H293" s="103" t="str">
        <x:v>Succession, Wills &amp; Family Governance — Prepare legal, financial, operational, and relational succession before crisis makes decisions unavoidable.</x:v>
      </x:c>
      <x:c r="I293" s="103" t="str">
        <x:v>Succession, Wills &amp; Family Governance Plan</x:v>
      </x:c>
      <x:c r="J293" s="103" t="str">
        <x:v>Set goals, budgets, schedules, thresholds, scenarios, and priorities for succession, wills &amp; family governance.</x:v>
      </x:c>
      <x:c r="K293" s="103" t="str">
        <x:v>wills; nominations; powers of attorney; trusts; succession roles; family council; dispute process</x:v>
      </x:c>
      <x:c r="L293" s="103" t="str">
        <x:v>Generational Pack</x:v>
      </x:c>
      <x:c r="M293" s="103" t="str">
        <x:f>IF(B293&lt;='Unlock Map'!$B$11,"Enabled","Locked")</x:f>
        <x:v>Locked</x:v>
      </x:c>
    </x:row>
    <x:row r="294" ht="54" customHeight="1">
      <x:c r="A294" s="107" t="str">
        <x:v>S6-D7-E3</x:v>
      </x:c>
      <x:c r="B294" s="107" t="n">
        <x:v>6</x:v>
      </x:c>
      <x:c r="C294" s="107" t="str">
        <x:v>Yielding</x:v>
      </x:c>
      <x:c r="D294" s="107" t="n">
        <x:v>7</x:v>
      </x:c>
      <x:c r="E294" s="107" t="str">
        <x:v>Safety, Legal &amp; Governance</x:v>
      </x:c>
      <x:c r="F294" s="107" t="n">
        <x:v>3</x:v>
      </x:c>
      <x:c r="G294" s="107" t="str">
        <x:v>Actions</x:v>
      </x:c>
      <x:c r="H294" s="103" t="str">
        <x:v>Succession, Wills &amp; Family Governance — Prepare legal, financial, operational, and relational succession before crisis makes decisions unavoidable.</x:v>
      </x:c>
      <x:c r="I294" s="103" t="str">
        <x:v>Succession, Wills &amp; Family Governance Actions</x:v>
      </x:c>
      <x:c r="J294" s="103" t="str">
        <x:v>Turn the succession, wills &amp; family governance plan into owned tasks, routines, transactions, projects, and follow-ups.</x:v>
      </x:c>
      <x:c r="K294" s="103" t="str">
        <x:v>wills; nominations; powers of attorney; trusts; succession roles; family council; dispute process</x:v>
      </x:c>
      <x:c r="L294" s="103" t="str">
        <x:v>Generational Pack</x:v>
      </x:c>
      <x:c r="M294" s="103" t="str">
        <x:f>IF(B294&lt;='Unlock Map'!$B$11,"Enabled","Locked")</x:f>
        <x:v>Locked</x:v>
      </x:c>
    </x:row>
    <x:row r="295" ht="54" customHeight="1">
      <x:c r="A295" s="107" t="str">
        <x:v>S6-D7-E4</x:v>
      </x:c>
      <x:c r="B295" s="107" t="n">
        <x:v>6</x:v>
      </x:c>
      <x:c r="C295" s="107" t="str">
        <x:v>Yielding</x:v>
      </x:c>
      <x:c r="D295" s="107" t="n">
        <x:v>7</x:v>
      </x:c>
      <x:c r="E295" s="107" t="str">
        <x:v>Safety, Legal &amp; Governance</x:v>
      </x:c>
      <x:c r="F295" s="107" t="n">
        <x:v>4</x:v>
      </x:c>
      <x:c r="G295" s="107" t="str">
        <x:v>Collaboration</x:v>
      </x:c>
      <x:c r="H295" s="103" t="str">
        <x:v>Succession, Wills &amp; Family Governance — Prepare legal, financial, operational, and relational succession before crisis makes decisions unavoidable.</x:v>
      </x:c>
      <x:c r="I295" s="103" t="str">
        <x:v>Succession, Wills &amp; Family Governance Coordination</x:v>
      </x:c>
      <x:c r="J295" s="103" t="str">
        <x:v>Share roles, messages, approvals, handoffs, and appropriate external access for succession, wills &amp; family governance.</x:v>
      </x:c>
      <x:c r="K295" s="103" t="str">
        <x:v>wills; nominations; powers of attorney; trusts; succession roles; family council; dispute process</x:v>
      </x:c>
      <x:c r="L295" s="103" t="str">
        <x:v>Generational Pack</x:v>
      </x:c>
      <x:c r="M295" s="103" t="str">
        <x:f>IF(B295&lt;='Unlock Map'!$B$11,"Enabled","Locked")</x:f>
        <x:v>Locked</x:v>
      </x:c>
    </x:row>
    <x:row r="296" ht="54" customHeight="1">
      <x:c r="A296" s="107" t="str">
        <x:v>S6-D7-E5</x:v>
      </x:c>
      <x:c r="B296" s="107" t="n">
        <x:v>6</x:v>
      </x:c>
      <x:c r="C296" s="107" t="str">
        <x:v>Yielding</x:v>
      </x:c>
      <x:c r="D296" s="107" t="n">
        <x:v>7</x:v>
      </x:c>
      <x:c r="E296" s="107" t="str">
        <x:v>Safety, Legal &amp; Governance</x:v>
      </x:c>
      <x:c r="F296" s="107" t="n">
        <x:v>5</x:v>
      </x:c>
      <x:c r="G296" s="107" t="str">
        <x:v>Safeguards</x:v>
      </x:c>
      <x:c r="H296" s="103" t="str">
        <x:v>Succession, Wills &amp; Family Governance — Prepare legal, financial, operational, and relational succession before crisis makes decisions unavoidable.</x:v>
      </x:c>
      <x:c r="I296" s="103" t="str">
        <x:v>Succession, Wills &amp; Family Governance Controls</x:v>
      </x:c>
      <x:c r="J296" s="103" t="str">
        <x:v>Apply permissions, limits, alerts, evidence, contingency rules, and exception handling to succession, wills &amp; family governance.</x:v>
      </x:c>
      <x:c r="K296" s="103" t="str">
        <x:v>wills; nominations; powers of attorney; trusts; succession roles; family council; dispute process</x:v>
      </x:c>
      <x:c r="L296" s="103" t="str">
        <x:v>Generational Pack</x:v>
      </x:c>
      <x:c r="M296" s="103" t="str">
        <x:f>IF(B296&lt;='Unlock Map'!$B$11,"Enabled","Locked")</x:f>
        <x:v>Locked</x:v>
      </x:c>
    </x:row>
    <x:row r="297" ht="54" customHeight="1">
      <x:c r="A297" s="107" t="str">
        <x:v>S6-D7-E6</x:v>
      </x:c>
      <x:c r="B297" s="107" t="n">
        <x:v>6</x:v>
      </x:c>
      <x:c r="C297" s="107" t="str">
        <x:v>Yielding</x:v>
      </x:c>
      <x:c r="D297" s="107" t="n">
        <x:v>7</x:v>
      </x:c>
      <x:c r="E297" s="107" t="str">
        <x:v>Safety, Legal &amp; Governance</x:v>
      </x:c>
      <x:c r="F297" s="107" t="n">
        <x:v>6</x:v>
      </x:c>
      <x:c r="G297" s="107" t="str">
        <x:v>Insights</x:v>
      </x:c>
      <x:c r="H297" s="103" t="str">
        <x:v>Succession, Wills &amp; Family Governance — Prepare legal, financial, operational, and relational succession before crisis makes decisions unavoidable.</x:v>
      </x:c>
      <x:c r="I297" s="103" t="str">
        <x:v>Succession, Wills &amp; Family Governance Review</x:v>
      </x:c>
      <x:c r="J297" s="103" t="str">
        <x:v>Show status, trends, gaps, risks, outcomes, and next decisions for succession, wills &amp; family governance.</x:v>
      </x:c>
      <x:c r="K297" s="103" t="str">
        <x:v>wills; nominations; powers of attorney; trusts; succession roles; family council; dispute process</x:v>
      </x:c>
      <x:c r="L297" s="103" t="str">
        <x:v>Generational Pack</x:v>
      </x:c>
      <x:c r="M297" s="103" t="str">
        <x:f>IF(B297&lt;='Unlock Map'!$B$11,"Enabled","Locked")</x:f>
        <x:v>Locked</x:v>
      </x:c>
    </x:row>
    <x:row r="298" ht="54" customHeight="1">
      <x:c r="A298" s="107" t="str">
        <x:v>S6-D7-E7</x:v>
      </x:c>
      <x:c r="B298" s="107" t="n">
        <x:v>6</x:v>
      </x:c>
      <x:c r="C298" s="107" t="str">
        <x:v>Yielding</x:v>
      </x:c>
      <x:c r="D298" s="107" t="n">
        <x:v>7</x:v>
      </x:c>
      <x:c r="E298" s="107" t="str">
        <x:v>Safety, Legal &amp; Governance</x:v>
      </x:c>
      <x:c r="F298" s="107" t="n">
        <x:v>7</x:v>
      </x:c>
      <x:c r="G298" s="107" t="str">
        <x:v>Automation</x:v>
      </x:c>
      <x:c r="H298" s="103" t="str">
        <x:v>Succession, Wills &amp; Family Governance — Prepare legal, financial, operational, and relational succession before crisis makes decisions unavoidable.</x:v>
      </x:c>
      <x:c r="I298" s="103" t="str">
        <x:v>Succession, Wills &amp; Family Governance Automation</x:v>
      </x:c>
      <x:c r="J298" s="103" t="str">
        <x:v>Use recurring rules, integrations, recommendations, and predictive reminders for succession, wills &amp; family governance.</x:v>
      </x:c>
      <x:c r="K298" s="103" t="str">
        <x:v>wills; nominations; powers of attorney; trusts; succession roles; family council; dispute process</x:v>
      </x:c>
      <x:c r="L298" s="103" t="str">
        <x:v>Generational Pack</x:v>
      </x:c>
      <x:c r="M298" s="103" t="str">
        <x:f>IF(B298&lt;='Unlock Map'!$B$11,"Enabled","Locked")</x:f>
        <x:v>Locked</x:v>
      </x:c>
    </x:row>
    <x:row r="299" ht="54" customHeight="1">
      <x:c r="A299" s="104" t="str">
        <x:v>S7-D1-E1</x:v>
      </x:c>
      <x:c r="B299" s="104" t="n">
        <x:v>7</x:v>
      </x:c>
      <x:c r="C299" s="104" t="str">
        <x:v>Fulfilling</x:v>
      </x:c>
      <x:c r="D299" s="104" t="n">
        <x:v>1</x:v>
      </x:c>
      <x:c r="E299" s="104" t="str">
        <x:v>Finance, Work &amp; Wealth</x:v>
      </x:c>
      <x:c r="F299" s="104" t="n">
        <x:v>1</x:v>
      </x:c>
      <x:c r="G299" s="104" t="str">
        <x:v>Records</x:v>
      </x:c>
      <x:c r="H299" s="100" t="str">
        <x:v>Purposeful Capital &amp; Endowment — Commit durable capital to institutions, public goods, and causes that can outlive individual family members.</x:v>
      </x:c>
      <x:c r="I299" s="100" t="str">
        <x:v>Purposeful Capital &amp; Endowment Register</x:v>
      </x:c>
      <x:c r="J299" s="100" t="str">
        <x:v>Capture and maintain endowment; foundation; mission investments; public assets; grants; beneficiary rules; governance.</x:v>
      </x:c>
      <x:c r="K299" s="100" t="str">
        <x:v>endowment; foundation; mission investments; public assets; grants; beneficiary rules; governance</x:v>
      </x:c>
      <x:c r="L299" s="100" t="str">
        <x:v>Legacy Pack</x:v>
      </x:c>
      <x:c r="M299" s="100" t="str">
        <x:f>IF(B299&lt;='Unlock Map'!$B$11,"Enabled","Locked")</x:f>
        <x:v>Locked</x:v>
      </x:c>
    </x:row>
    <x:row r="300" ht="54" customHeight="1">
      <x:c r="A300" s="105" t="str">
        <x:v>S7-D1-E2</x:v>
      </x:c>
      <x:c r="B300" s="105" t="n">
        <x:v>7</x:v>
      </x:c>
      <x:c r="C300" s="105" t="str">
        <x:v>Fulfilling</x:v>
      </x:c>
      <x:c r="D300" s="105" t="n">
        <x:v>1</x:v>
      </x:c>
      <x:c r="E300" s="105" t="str">
        <x:v>Finance, Work &amp; Wealth</x:v>
      </x:c>
      <x:c r="F300" s="105" t="n">
        <x:v>2</x:v>
      </x:c>
      <x:c r="G300" s="105" t="str">
        <x:v>Plans</x:v>
      </x:c>
      <x:c r="H300" s="101" t="str">
        <x:v>Purposeful Capital &amp; Endowment — Commit durable capital to institutions, public goods, and causes that can outlive individual family members.</x:v>
      </x:c>
      <x:c r="I300" s="101" t="str">
        <x:v>Purposeful Capital &amp; Endowment Plan</x:v>
      </x:c>
      <x:c r="J300" s="101" t="str">
        <x:v>Set goals, budgets, schedules, thresholds, scenarios, and priorities for purposeful capital &amp; endowment.</x:v>
      </x:c>
      <x:c r="K300" s="101" t="str">
        <x:v>endowment; foundation; mission investments; public assets; grants; beneficiary rules; governance</x:v>
      </x:c>
      <x:c r="L300" s="101" t="str">
        <x:v>Legacy Pack</x:v>
      </x:c>
      <x:c r="M300" s="101" t="str">
        <x:f>IF(B300&lt;='Unlock Map'!$B$11,"Enabled","Locked")</x:f>
        <x:v>Locked</x:v>
      </x:c>
    </x:row>
    <x:row r="301" ht="54" customHeight="1">
      <x:c r="A301" s="105" t="str">
        <x:v>S7-D1-E3</x:v>
      </x:c>
      <x:c r="B301" s="105" t="n">
        <x:v>7</x:v>
      </x:c>
      <x:c r="C301" s="105" t="str">
        <x:v>Fulfilling</x:v>
      </x:c>
      <x:c r="D301" s="105" t="n">
        <x:v>1</x:v>
      </x:c>
      <x:c r="E301" s="105" t="str">
        <x:v>Finance, Work &amp; Wealth</x:v>
      </x:c>
      <x:c r="F301" s="105" t="n">
        <x:v>3</x:v>
      </x:c>
      <x:c r="G301" s="105" t="str">
        <x:v>Actions</x:v>
      </x:c>
      <x:c r="H301" s="101" t="str">
        <x:v>Purposeful Capital &amp; Endowment — Commit durable capital to institutions, public goods, and causes that can outlive individual family members.</x:v>
      </x:c>
      <x:c r="I301" s="101" t="str">
        <x:v>Purposeful Capital &amp; Endowment Actions</x:v>
      </x:c>
      <x:c r="J301" s="101" t="str">
        <x:v>Turn the purposeful capital &amp; endowment plan into owned tasks, routines, transactions, projects, and follow-ups.</x:v>
      </x:c>
      <x:c r="K301" s="101" t="str">
        <x:v>endowment; foundation; mission investments; public assets; grants; beneficiary rules; governance</x:v>
      </x:c>
      <x:c r="L301" s="101" t="str">
        <x:v>Legacy Pack</x:v>
      </x:c>
      <x:c r="M301" s="101" t="str">
        <x:f>IF(B301&lt;='Unlock Map'!$B$11,"Enabled","Locked")</x:f>
        <x:v>Locked</x:v>
      </x:c>
    </x:row>
    <x:row r="302" ht="54" customHeight="1">
      <x:c r="A302" s="105" t="str">
        <x:v>S7-D1-E4</x:v>
      </x:c>
      <x:c r="B302" s="105" t="n">
        <x:v>7</x:v>
      </x:c>
      <x:c r="C302" s="105" t="str">
        <x:v>Fulfilling</x:v>
      </x:c>
      <x:c r="D302" s="105" t="n">
        <x:v>1</x:v>
      </x:c>
      <x:c r="E302" s="105" t="str">
        <x:v>Finance, Work &amp; Wealth</x:v>
      </x:c>
      <x:c r="F302" s="105" t="n">
        <x:v>4</x:v>
      </x:c>
      <x:c r="G302" s="105" t="str">
        <x:v>Collaboration</x:v>
      </x:c>
      <x:c r="H302" s="101" t="str">
        <x:v>Purposeful Capital &amp; Endowment — Commit durable capital to institutions, public goods, and causes that can outlive individual family members.</x:v>
      </x:c>
      <x:c r="I302" s="101" t="str">
        <x:v>Purposeful Capital &amp; Endowment Coordination</x:v>
      </x:c>
      <x:c r="J302" s="101" t="str">
        <x:v>Share roles, messages, approvals, handoffs, and appropriate external access for purposeful capital &amp; endowment.</x:v>
      </x:c>
      <x:c r="K302" s="101" t="str">
        <x:v>endowment; foundation; mission investments; public assets; grants; beneficiary rules; governance</x:v>
      </x:c>
      <x:c r="L302" s="101" t="str">
        <x:v>Legacy Pack</x:v>
      </x:c>
      <x:c r="M302" s="101" t="str">
        <x:f>IF(B302&lt;='Unlock Map'!$B$11,"Enabled","Locked")</x:f>
        <x:v>Locked</x:v>
      </x:c>
    </x:row>
    <x:row r="303" ht="54" customHeight="1">
      <x:c r="A303" s="105" t="str">
        <x:v>S7-D1-E5</x:v>
      </x:c>
      <x:c r="B303" s="105" t="n">
        <x:v>7</x:v>
      </x:c>
      <x:c r="C303" s="105" t="str">
        <x:v>Fulfilling</x:v>
      </x:c>
      <x:c r="D303" s="105" t="n">
        <x:v>1</x:v>
      </x:c>
      <x:c r="E303" s="105" t="str">
        <x:v>Finance, Work &amp; Wealth</x:v>
      </x:c>
      <x:c r="F303" s="105" t="n">
        <x:v>5</x:v>
      </x:c>
      <x:c r="G303" s="105" t="str">
        <x:v>Safeguards</x:v>
      </x:c>
      <x:c r="H303" s="101" t="str">
        <x:v>Purposeful Capital &amp; Endowment — Commit durable capital to institutions, public goods, and causes that can outlive individual family members.</x:v>
      </x:c>
      <x:c r="I303" s="101" t="str">
        <x:v>Purposeful Capital &amp; Endowment Controls</x:v>
      </x:c>
      <x:c r="J303" s="101" t="str">
        <x:v>Apply permissions, limits, alerts, evidence, contingency rules, and exception handling to purposeful capital &amp; endowment.</x:v>
      </x:c>
      <x:c r="K303" s="101" t="str">
        <x:v>endowment; foundation; mission investments; public assets; grants; beneficiary rules; governance</x:v>
      </x:c>
      <x:c r="L303" s="101" t="str">
        <x:v>Legacy Pack</x:v>
      </x:c>
      <x:c r="M303" s="101" t="str">
        <x:f>IF(B303&lt;='Unlock Map'!$B$11,"Enabled","Locked")</x:f>
        <x:v>Locked</x:v>
      </x:c>
    </x:row>
    <x:row r="304" ht="54" customHeight="1">
      <x:c r="A304" s="105" t="str">
        <x:v>S7-D1-E6</x:v>
      </x:c>
      <x:c r="B304" s="105" t="n">
        <x:v>7</x:v>
      </x:c>
      <x:c r="C304" s="105" t="str">
        <x:v>Fulfilling</x:v>
      </x:c>
      <x:c r="D304" s="105" t="n">
        <x:v>1</x:v>
      </x:c>
      <x:c r="E304" s="105" t="str">
        <x:v>Finance, Work &amp; Wealth</x:v>
      </x:c>
      <x:c r="F304" s="105" t="n">
        <x:v>6</x:v>
      </x:c>
      <x:c r="G304" s="105" t="str">
        <x:v>Insights</x:v>
      </x:c>
      <x:c r="H304" s="101" t="str">
        <x:v>Purposeful Capital &amp; Endowment — Commit durable capital to institutions, public goods, and causes that can outlive individual family members.</x:v>
      </x:c>
      <x:c r="I304" s="101" t="str">
        <x:v>Purposeful Capital &amp; Endowment Review</x:v>
      </x:c>
      <x:c r="J304" s="101" t="str">
        <x:v>Show status, trends, gaps, risks, outcomes, and next decisions for purposeful capital &amp; endowment.</x:v>
      </x:c>
      <x:c r="K304" s="101" t="str">
        <x:v>endowment; foundation; mission investments; public assets; grants; beneficiary rules; governance</x:v>
      </x:c>
      <x:c r="L304" s="101" t="str">
        <x:v>Legacy Pack</x:v>
      </x:c>
      <x:c r="M304" s="101" t="str">
        <x:f>IF(B304&lt;='Unlock Map'!$B$11,"Enabled","Locked")</x:f>
        <x:v>Locked</x:v>
      </x:c>
    </x:row>
    <x:row r="305" ht="54" customHeight="1">
      <x:c r="A305" s="105" t="str">
        <x:v>S7-D1-E7</x:v>
      </x:c>
      <x:c r="B305" s="105" t="n">
        <x:v>7</x:v>
      </x:c>
      <x:c r="C305" s="105" t="str">
        <x:v>Fulfilling</x:v>
      </x:c>
      <x:c r="D305" s="105" t="n">
        <x:v>1</x:v>
      </x:c>
      <x:c r="E305" s="105" t="str">
        <x:v>Finance, Work &amp; Wealth</x:v>
      </x:c>
      <x:c r="F305" s="105" t="n">
        <x:v>7</x:v>
      </x:c>
      <x:c r="G305" s="105" t="str">
        <x:v>Automation</x:v>
      </x:c>
      <x:c r="H305" s="101" t="str">
        <x:v>Purposeful Capital &amp; Endowment — Commit durable capital to institutions, public goods, and causes that can outlive individual family members.</x:v>
      </x:c>
      <x:c r="I305" s="101" t="str">
        <x:v>Purposeful Capital &amp; Endowment Automation</x:v>
      </x:c>
      <x:c r="J305" s="101" t="str">
        <x:v>Use recurring rules, integrations, recommendations, and predictive reminders for purposeful capital &amp; endowment.</x:v>
      </x:c>
      <x:c r="K305" s="101" t="str">
        <x:v>endowment; foundation; mission investments; public assets; grants; beneficiary rules; governance</x:v>
      </x:c>
      <x:c r="L305" s="101" t="str">
        <x:v>Legacy Pack</x:v>
      </x:c>
      <x:c r="M305" s="101" t="str">
        <x:f>IF(B305&lt;='Unlock Map'!$B$11,"Enabled","Locked")</x:f>
        <x:v>Locked</x:v>
      </x:c>
    </x:row>
    <x:row r="306" ht="54" customHeight="1">
      <x:c r="A306" s="105" t="str">
        <x:v>S7-D2-E1</x:v>
      </x:c>
      <x:c r="B306" s="105" t="n">
        <x:v>7</x:v>
      </x:c>
      <x:c r="C306" s="105" t="str">
        <x:v>Fulfilling</x:v>
      </x:c>
      <x:c r="D306" s="105" t="n">
        <x:v>2</x:v>
      </x:c>
      <x:c r="E306" s="105" t="str">
        <x:v>Health &amp; Care</x:v>
      </x:c>
      <x:c r="F306" s="105" t="n">
        <x:v>1</x:v>
      </x:c>
      <x:c r="G306" s="105" t="str">
        <x:v>Records</x:v>
      </x:c>
      <x:c r="H306" s="101" t="str">
        <x:v>Health &amp; Care Legacy — Create lasting systems that improve health, dignity, access, caregiving, or prevention for others.</x:v>
      </x:c>
      <x:c r="I306" s="101" t="str">
        <x:v>Health &amp; Care Legacy Register</x:v>
      </x:c>
      <x:c r="J306" s="101" t="str">
        <x:v>Capture and maintain clinics; care networks; research support; accessibility; health education; public outcomes.</x:v>
      </x:c>
      <x:c r="K306" s="101" t="str">
        <x:v>clinics; care networks; research support; accessibility; health education; public outcomes</x:v>
      </x:c>
      <x:c r="L306" s="101" t="str">
        <x:v>Legacy Pack</x:v>
      </x:c>
      <x:c r="M306" s="101" t="str">
        <x:f>IF(B306&lt;='Unlock Map'!$B$11,"Enabled","Locked")</x:f>
        <x:v>Locked</x:v>
      </x:c>
    </x:row>
    <x:row r="307" ht="54" customHeight="1">
      <x:c r="A307" s="105" t="str">
        <x:v>S7-D2-E2</x:v>
      </x:c>
      <x:c r="B307" s="105" t="n">
        <x:v>7</x:v>
      </x:c>
      <x:c r="C307" s="105" t="str">
        <x:v>Fulfilling</x:v>
      </x:c>
      <x:c r="D307" s="105" t="n">
        <x:v>2</x:v>
      </x:c>
      <x:c r="E307" s="105" t="str">
        <x:v>Health &amp; Care</x:v>
      </x:c>
      <x:c r="F307" s="105" t="n">
        <x:v>2</x:v>
      </x:c>
      <x:c r="G307" s="105" t="str">
        <x:v>Plans</x:v>
      </x:c>
      <x:c r="H307" s="101" t="str">
        <x:v>Health &amp; Care Legacy — Create lasting systems that improve health, dignity, access, caregiving, or prevention for others.</x:v>
      </x:c>
      <x:c r="I307" s="101" t="str">
        <x:v>Health &amp; Care Legacy Plan</x:v>
      </x:c>
      <x:c r="J307" s="101" t="str">
        <x:v>Set goals, budgets, schedules, thresholds, scenarios, and priorities for health &amp; care legacy.</x:v>
      </x:c>
      <x:c r="K307" s="101" t="str">
        <x:v>clinics; care networks; research support; accessibility; health education; public outcomes</x:v>
      </x:c>
      <x:c r="L307" s="101" t="str">
        <x:v>Legacy Pack</x:v>
      </x:c>
      <x:c r="M307" s="101" t="str">
        <x:f>IF(B307&lt;='Unlock Map'!$B$11,"Enabled","Locked")</x:f>
        <x:v>Locked</x:v>
      </x:c>
    </x:row>
    <x:row r="308" ht="54" customHeight="1">
      <x:c r="A308" s="105" t="str">
        <x:v>S7-D2-E3</x:v>
      </x:c>
      <x:c r="B308" s="105" t="n">
        <x:v>7</x:v>
      </x:c>
      <x:c r="C308" s="105" t="str">
        <x:v>Fulfilling</x:v>
      </x:c>
      <x:c r="D308" s="105" t="n">
        <x:v>2</x:v>
      </x:c>
      <x:c r="E308" s="105" t="str">
        <x:v>Health &amp; Care</x:v>
      </x:c>
      <x:c r="F308" s="105" t="n">
        <x:v>3</x:v>
      </x:c>
      <x:c r="G308" s="105" t="str">
        <x:v>Actions</x:v>
      </x:c>
      <x:c r="H308" s="101" t="str">
        <x:v>Health &amp; Care Legacy — Create lasting systems that improve health, dignity, access, caregiving, or prevention for others.</x:v>
      </x:c>
      <x:c r="I308" s="101" t="str">
        <x:v>Health &amp; Care Legacy Actions</x:v>
      </x:c>
      <x:c r="J308" s="101" t="str">
        <x:v>Turn the health &amp; care legacy plan into owned tasks, routines, transactions, projects, and follow-ups.</x:v>
      </x:c>
      <x:c r="K308" s="101" t="str">
        <x:v>clinics; care networks; research support; accessibility; health education; public outcomes</x:v>
      </x:c>
      <x:c r="L308" s="101" t="str">
        <x:v>Legacy Pack</x:v>
      </x:c>
      <x:c r="M308" s="101" t="str">
        <x:f>IF(B308&lt;='Unlock Map'!$B$11,"Enabled","Locked")</x:f>
        <x:v>Locked</x:v>
      </x:c>
    </x:row>
    <x:row r="309" ht="54" customHeight="1">
      <x:c r="A309" s="105" t="str">
        <x:v>S7-D2-E4</x:v>
      </x:c>
      <x:c r="B309" s="105" t="n">
        <x:v>7</x:v>
      </x:c>
      <x:c r="C309" s="105" t="str">
        <x:v>Fulfilling</x:v>
      </x:c>
      <x:c r="D309" s="105" t="n">
        <x:v>2</x:v>
      </x:c>
      <x:c r="E309" s="105" t="str">
        <x:v>Health &amp; Care</x:v>
      </x:c>
      <x:c r="F309" s="105" t="n">
        <x:v>4</x:v>
      </x:c>
      <x:c r="G309" s="105" t="str">
        <x:v>Collaboration</x:v>
      </x:c>
      <x:c r="H309" s="101" t="str">
        <x:v>Health &amp; Care Legacy — Create lasting systems that improve health, dignity, access, caregiving, or prevention for others.</x:v>
      </x:c>
      <x:c r="I309" s="101" t="str">
        <x:v>Health &amp; Care Legacy Coordination</x:v>
      </x:c>
      <x:c r="J309" s="101" t="str">
        <x:v>Share roles, messages, approvals, handoffs, and appropriate external access for health &amp; care legacy.</x:v>
      </x:c>
      <x:c r="K309" s="101" t="str">
        <x:v>clinics; care networks; research support; accessibility; health education; public outcomes</x:v>
      </x:c>
      <x:c r="L309" s="101" t="str">
        <x:v>Legacy Pack</x:v>
      </x:c>
      <x:c r="M309" s="101" t="str">
        <x:f>IF(B309&lt;='Unlock Map'!$B$11,"Enabled","Locked")</x:f>
        <x:v>Locked</x:v>
      </x:c>
    </x:row>
    <x:row r="310" ht="54" customHeight="1">
      <x:c r="A310" s="105" t="str">
        <x:v>S7-D2-E5</x:v>
      </x:c>
      <x:c r="B310" s="105" t="n">
        <x:v>7</x:v>
      </x:c>
      <x:c r="C310" s="105" t="str">
        <x:v>Fulfilling</x:v>
      </x:c>
      <x:c r="D310" s="105" t="n">
        <x:v>2</x:v>
      </x:c>
      <x:c r="E310" s="105" t="str">
        <x:v>Health &amp; Care</x:v>
      </x:c>
      <x:c r="F310" s="105" t="n">
        <x:v>5</x:v>
      </x:c>
      <x:c r="G310" s="105" t="str">
        <x:v>Safeguards</x:v>
      </x:c>
      <x:c r="H310" s="101" t="str">
        <x:v>Health &amp; Care Legacy — Create lasting systems that improve health, dignity, access, caregiving, or prevention for others.</x:v>
      </x:c>
      <x:c r="I310" s="101" t="str">
        <x:v>Health &amp; Care Legacy Controls</x:v>
      </x:c>
      <x:c r="J310" s="101" t="str">
        <x:v>Apply permissions, limits, alerts, evidence, contingency rules, and exception handling to health &amp; care legacy.</x:v>
      </x:c>
      <x:c r="K310" s="101" t="str">
        <x:v>clinics; care networks; research support; accessibility; health education; public outcomes</x:v>
      </x:c>
      <x:c r="L310" s="101" t="str">
        <x:v>Legacy Pack</x:v>
      </x:c>
      <x:c r="M310" s="101" t="str">
        <x:f>IF(B310&lt;='Unlock Map'!$B$11,"Enabled","Locked")</x:f>
        <x:v>Locked</x:v>
      </x:c>
    </x:row>
    <x:row r="311" ht="54" customHeight="1">
      <x:c r="A311" s="105" t="str">
        <x:v>S7-D2-E6</x:v>
      </x:c>
      <x:c r="B311" s="105" t="n">
        <x:v>7</x:v>
      </x:c>
      <x:c r="C311" s="105" t="str">
        <x:v>Fulfilling</x:v>
      </x:c>
      <x:c r="D311" s="105" t="n">
        <x:v>2</x:v>
      </x:c>
      <x:c r="E311" s="105" t="str">
        <x:v>Health &amp; Care</x:v>
      </x:c>
      <x:c r="F311" s="105" t="n">
        <x:v>6</x:v>
      </x:c>
      <x:c r="G311" s="105" t="str">
        <x:v>Insights</x:v>
      </x:c>
      <x:c r="H311" s="101" t="str">
        <x:v>Health &amp; Care Legacy — Create lasting systems that improve health, dignity, access, caregiving, or prevention for others.</x:v>
      </x:c>
      <x:c r="I311" s="101" t="str">
        <x:v>Health &amp; Care Legacy Review</x:v>
      </x:c>
      <x:c r="J311" s="101" t="str">
        <x:v>Show status, trends, gaps, risks, outcomes, and next decisions for health &amp; care legacy.</x:v>
      </x:c>
      <x:c r="K311" s="101" t="str">
        <x:v>clinics; care networks; research support; accessibility; health education; public outcomes</x:v>
      </x:c>
      <x:c r="L311" s="101" t="str">
        <x:v>Legacy Pack</x:v>
      </x:c>
      <x:c r="M311" s="101" t="str">
        <x:f>IF(B311&lt;='Unlock Map'!$B$11,"Enabled","Locked")</x:f>
        <x:v>Locked</x:v>
      </x:c>
    </x:row>
    <x:row r="312" ht="54" customHeight="1">
      <x:c r="A312" s="105" t="str">
        <x:v>S7-D2-E7</x:v>
      </x:c>
      <x:c r="B312" s="105" t="n">
        <x:v>7</x:v>
      </x:c>
      <x:c r="C312" s="105" t="str">
        <x:v>Fulfilling</x:v>
      </x:c>
      <x:c r="D312" s="105" t="n">
        <x:v>2</x:v>
      </x:c>
      <x:c r="E312" s="105" t="str">
        <x:v>Health &amp; Care</x:v>
      </x:c>
      <x:c r="F312" s="105" t="n">
        <x:v>7</x:v>
      </x:c>
      <x:c r="G312" s="105" t="str">
        <x:v>Automation</x:v>
      </x:c>
      <x:c r="H312" s="101" t="str">
        <x:v>Health &amp; Care Legacy — Create lasting systems that improve health, dignity, access, caregiving, or prevention for others.</x:v>
      </x:c>
      <x:c r="I312" s="101" t="str">
        <x:v>Health &amp; Care Legacy Automation</x:v>
      </x:c>
      <x:c r="J312" s="101" t="str">
        <x:v>Use recurring rules, integrations, recommendations, and predictive reminders for health &amp; care legacy.</x:v>
      </x:c>
      <x:c r="K312" s="101" t="str">
        <x:v>clinics; care networks; research support; accessibility; health education; public outcomes</x:v>
      </x:c>
      <x:c r="L312" s="101" t="str">
        <x:v>Legacy Pack</x:v>
      </x:c>
      <x:c r="M312" s="101" t="str">
        <x:f>IF(B312&lt;='Unlock Map'!$B$11,"Enabled","Locked")</x:f>
        <x:v>Locked</x:v>
      </x:c>
    </x:row>
    <x:row r="313" ht="54" customHeight="1">
      <x:c r="A313" s="105" t="str">
        <x:v>S7-D3-E1</x:v>
      </x:c>
      <x:c r="B313" s="105" t="n">
        <x:v>7</x:v>
      </x:c>
      <x:c r="C313" s="105" t="str">
        <x:v>Fulfilling</x:v>
      </x:c>
      <x:c r="D313" s="105" t="n">
        <x:v>3</x:v>
      </x:c>
      <x:c r="E313" s="105" t="str">
        <x:v>Education, Skills &amp; Knowledge</x:v>
      </x:c>
      <x:c r="F313" s="105" t="n">
        <x:v>1</x:v>
      </x:c>
      <x:c r="G313" s="105" t="str">
        <x:v>Records</x:v>
      </x:c>
      <x:c r="H313" s="101" t="str">
        <x:v>Scholarship &amp; Knowledge Institutions — Preserve and expand knowledge through schools, archives, research, culture, and open learning.</x:v>
      </x:c>
      <x:c r="I313" s="101" t="str">
        <x:v>Scholarship &amp; Knowledge Institutions Register</x:v>
      </x:c>
      <x:c r="J313" s="101" t="str">
        <x:v>Capture and maintain scholarships; libraries; archives; schools; research; publications; cultural institutions.</x:v>
      </x:c>
      <x:c r="K313" s="101" t="str">
        <x:v>scholarships; libraries; archives; schools; research; publications; cultural institutions</x:v>
      </x:c>
      <x:c r="L313" s="101" t="str">
        <x:v>Legacy Pack</x:v>
      </x:c>
      <x:c r="M313" s="101" t="str">
        <x:f>IF(B313&lt;='Unlock Map'!$B$11,"Enabled","Locked")</x:f>
        <x:v>Locked</x:v>
      </x:c>
    </x:row>
    <x:row r="314" ht="54" customHeight="1">
      <x:c r="A314" s="105" t="str">
        <x:v>S7-D3-E2</x:v>
      </x:c>
      <x:c r="B314" s="105" t="n">
        <x:v>7</x:v>
      </x:c>
      <x:c r="C314" s="105" t="str">
        <x:v>Fulfilling</x:v>
      </x:c>
      <x:c r="D314" s="105" t="n">
        <x:v>3</x:v>
      </x:c>
      <x:c r="E314" s="105" t="str">
        <x:v>Education, Skills &amp; Knowledge</x:v>
      </x:c>
      <x:c r="F314" s="105" t="n">
        <x:v>2</x:v>
      </x:c>
      <x:c r="G314" s="105" t="str">
        <x:v>Plans</x:v>
      </x:c>
      <x:c r="H314" s="101" t="str">
        <x:v>Scholarship &amp; Knowledge Institutions — Preserve and expand knowledge through schools, archives, research, culture, and open learning.</x:v>
      </x:c>
      <x:c r="I314" s="101" t="str">
        <x:v>Scholarship &amp; Knowledge Institutions Plan</x:v>
      </x:c>
      <x:c r="J314" s="101" t="str">
        <x:v>Set goals, budgets, schedules, thresholds, scenarios, and priorities for scholarship &amp; knowledge institutions.</x:v>
      </x:c>
      <x:c r="K314" s="101" t="str">
        <x:v>scholarships; libraries; archives; schools; research; publications; cultural institutions</x:v>
      </x:c>
      <x:c r="L314" s="101" t="str">
        <x:v>Legacy Pack</x:v>
      </x:c>
      <x:c r="M314" s="101" t="str">
        <x:f>IF(B314&lt;='Unlock Map'!$B$11,"Enabled","Locked")</x:f>
        <x:v>Locked</x:v>
      </x:c>
    </x:row>
    <x:row r="315" ht="54" customHeight="1">
      <x:c r="A315" s="105" t="str">
        <x:v>S7-D3-E3</x:v>
      </x:c>
      <x:c r="B315" s="105" t="n">
        <x:v>7</x:v>
      </x:c>
      <x:c r="C315" s="105" t="str">
        <x:v>Fulfilling</x:v>
      </x:c>
      <x:c r="D315" s="105" t="n">
        <x:v>3</x:v>
      </x:c>
      <x:c r="E315" s="105" t="str">
        <x:v>Education, Skills &amp; Knowledge</x:v>
      </x:c>
      <x:c r="F315" s="105" t="n">
        <x:v>3</x:v>
      </x:c>
      <x:c r="G315" s="105" t="str">
        <x:v>Actions</x:v>
      </x:c>
      <x:c r="H315" s="101" t="str">
        <x:v>Scholarship &amp; Knowledge Institutions — Preserve and expand knowledge through schools, archives, research, culture, and open learning.</x:v>
      </x:c>
      <x:c r="I315" s="101" t="str">
        <x:v>Scholarship &amp; Knowledge Institutions Actions</x:v>
      </x:c>
      <x:c r="J315" s="101" t="str">
        <x:v>Turn the scholarship &amp; knowledge institutions plan into owned tasks, routines, transactions, projects, and follow-ups.</x:v>
      </x:c>
      <x:c r="K315" s="101" t="str">
        <x:v>scholarships; libraries; archives; schools; research; publications; cultural institutions</x:v>
      </x:c>
      <x:c r="L315" s="101" t="str">
        <x:v>Legacy Pack</x:v>
      </x:c>
      <x:c r="M315" s="101" t="str">
        <x:f>IF(B315&lt;='Unlock Map'!$B$11,"Enabled","Locked")</x:f>
        <x:v>Locked</x:v>
      </x:c>
    </x:row>
    <x:row r="316" ht="54" customHeight="1">
      <x:c r="A316" s="105" t="str">
        <x:v>S7-D3-E4</x:v>
      </x:c>
      <x:c r="B316" s="105" t="n">
        <x:v>7</x:v>
      </x:c>
      <x:c r="C316" s="105" t="str">
        <x:v>Fulfilling</x:v>
      </x:c>
      <x:c r="D316" s="105" t="n">
        <x:v>3</x:v>
      </x:c>
      <x:c r="E316" s="105" t="str">
        <x:v>Education, Skills &amp; Knowledge</x:v>
      </x:c>
      <x:c r="F316" s="105" t="n">
        <x:v>4</x:v>
      </x:c>
      <x:c r="G316" s="105" t="str">
        <x:v>Collaboration</x:v>
      </x:c>
      <x:c r="H316" s="101" t="str">
        <x:v>Scholarship &amp; Knowledge Institutions — Preserve and expand knowledge through schools, archives, research, culture, and open learning.</x:v>
      </x:c>
      <x:c r="I316" s="101" t="str">
        <x:v>Scholarship &amp; Knowledge Institutions Coordination</x:v>
      </x:c>
      <x:c r="J316" s="101" t="str">
        <x:v>Share roles, messages, approvals, handoffs, and appropriate external access for scholarship &amp; knowledge institutions.</x:v>
      </x:c>
      <x:c r="K316" s="101" t="str">
        <x:v>scholarships; libraries; archives; schools; research; publications; cultural institutions</x:v>
      </x:c>
      <x:c r="L316" s="101" t="str">
        <x:v>Legacy Pack</x:v>
      </x:c>
      <x:c r="M316" s="101" t="str">
        <x:f>IF(B316&lt;='Unlock Map'!$B$11,"Enabled","Locked")</x:f>
        <x:v>Locked</x:v>
      </x:c>
    </x:row>
    <x:row r="317" ht="54" customHeight="1">
      <x:c r="A317" s="105" t="str">
        <x:v>S7-D3-E5</x:v>
      </x:c>
      <x:c r="B317" s="105" t="n">
        <x:v>7</x:v>
      </x:c>
      <x:c r="C317" s="105" t="str">
        <x:v>Fulfilling</x:v>
      </x:c>
      <x:c r="D317" s="105" t="n">
        <x:v>3</x:v>
      </x:c>
      <x:c r="E317" s="105" t="str">
        <x:v>Education, Skills &amp; Knowledge</x:v>
      </x:c>
      <x:c r="F317" s="105" t="n">
        <x:v>5</x:v>
      </x:c>
      <x:c r="G317" s="105" t="str">
        <x:v>Safeguards</x:v>
      </x:c>
      <x:c r="H317" s="101" t="str">
        <x:v>Scholarship &amp; Knowledge Institutions — Preserve and expand knowledge through schools, archives, research, culture, and open learning.</x:v>
      </x:c>
      <x:c r="I317" s="101" t="str">
        <x:v>Scholarship &amp; Knowledge Institutions Controls</x:v>
      </x:c>
      <x:c r="J317" s="101" t="str">
        <x:v>Apply permissions, limits, alerts, evidence, contingency rules, and exception handling to scholarship &amp; knowledge institutions.</x:v>
      </x:c>
      <x:c r="K317" s="101" t="str">
        <x:v>scholarships; libraries; archives; schools; research; publications; cultural institutions</x:v>
      </x:c>
      <x:c r="L317" s="101" t="str">
        <x:v>Legacy Pack</x:v>
      </x:c>
      <x:c r="M317" s="101" t="str">
        <x:f>IF(B317&lt;='Unlock Map'!$B$11,"Enabled","Locked")</x:f>
        <x:v>Locked</x:v>
      </x:c>
    </x:row>
    <x:row r="318" ht="54" customHeight="1">
      <x:c r="A318" s="105" t="str">
        <x:v>S7-D3-E6</x:v>
      </x:c>
      <x:c r="B318" s="105" t="n">
        <x:v>7</x:v>
      </x:c>
      <x:c r="C318" s="105" t="str">
        <x:v>Fulfilling</x:v>
      </x:c>
      <x:c r="D318" s="105" t="n">
        <x:v>3</x:v>
      </x:c>
      <x:c r="E318" s="105" t="str">
        <x:v>Education, Skills &amp; Knowledge</x:v>
      </x:c>
      <x:c r="F318" s="105" t="n">
        <x:v>6</x:v>
      </x:c>
      <x:c r="G318" s="105" t="str">
        <x:v>Insights</x:v>
      </x:c>
      <x:c r="H318" s="101" t="str">
        <x:v>Scholarship &amp; Knowledge Institutions — Preserve and expand knowledge through schools, archives, research, culture, and open learning.</x:v>
      </x:c>
      <x:c r="I318" s="101" t="str">
        <x:v>Scholarship &amp; Knowledge Institutions Review</x:v>
      </x:c>
      <x:c r="J318" s="101" t="str">
        <x:v>Show status, trends, gaps, risks, outcomes, and next decisions for scholarship &amp; knowledge institutions.</x:v>
      </x:c>
      <x:c r="K318" s="101" t="str">
        <x:v>scholarships; libraries; archives; schools; research; publications; cultural institutions</x:v>
      </x:c>
      <x:c r="L318" s="101" t="str">
        <x:v>Legacy Pack</x:v>
      </x:c>
      <x:c r="M318" s="101" t="str">
        <x:f>IF(B318&lt;='Unlock Map'!$B$11,"Enabled","Locked")</x:f>
        <x:v>Locked</x:v>
      </x:c>
    </x:row>
    <x:row r="319" ht="54" customHeight="1">
      <x:c r="A319" s="105" t="str">
        <x:v>S7-D3-E7</x:v>
      </x:c>
      <x:c r="B319" s="105" t="n">
        <x:v>7</x:v>
      </x:c>
      <x:c r="C319" s="105" t="str">
        <x:v>Fulfilling</x:v>
      </x:c>
      <x:c r="D319" s="105" t="n">
        <x:v>3</x:v>
      </x:c>
      <x:c r="E319" s="105" t="str">
        <x:v>Education, Skills &amp; Knowledge</x:v>
      </x:c>
      <x:c r="F319" s="105" t="n">
        <x:v>7</x:v>
      </x:c>
      <x:c r="G319" s="105" t="str">
        <x:v>Automation</x:v>
      </x:c>
      <x:c r="H319" s="101" t="str">
        <x:v>Scholarship &amp; Knowledge Institutions — Preserve and expand knowledge through schools, archives, research, culture, and open learning.</x:v>
      </x:c>
      <x:c r="I319" s="101" t="str">
        <x:v>Scholarship &amp; Knowledge Institutions Automation</x:v>
      </x:c>
      <x:c r="J319" s="101" t="str">
        <x:v>Use recurring rules, integrations, recommendations, and predictive reminders for scholarship &amp; knowledge institutions.</x:v>
      </x:c>
      <x:c r="K319" s="101" t="str">
        <x:v>scholarships; libraries; archives; schools; research; publications; cultural institutions</x:v>
      </x:c>
      <x:c r="L319" s="101" t="str">
        <x:v>Legacy Pack</x:v>
      </x:c>
      <x:c r="M319" s="101" t="str">
        <x:f>IF(B319&lt;='Unlock Map'!$B$11,"Enabled","Locked")</x:f>
        <x:v>Locked</x:v>
      </x:c>
    </x:row>
    <x:row r="320" ht="54" customHeight="1">
      <x:c r="A320" s="105" t="str">
        <x:v>S7-D4-E1</x:v>
      </x:c>
      <x:c r="B320" s="105" t="n">
        <x:v>7</x:v>
      </x:c>
      <x:c r="C320" s="105" t="str">
        <x:v>Fulfilling</x:v>
      </x:c>
      <x:c r="D320" s="105" t="n">
        <x:v>4</x:v>
      </x:c>
      <x:c r="E320" s="105" t="str">
        <x:v>Home, Utilities &amp; Assets</x:v>
      </x:c>
      <x:c r="F320" s="105" t="n">
        <x:v>1</x:v>
      </x:c>
      <x:c r="G320" s="105" t="str">
        <x:v>Records</x:v>
      </x:c>
      <x:c r="H320" s="101" t="str">
        <x:v>Land, Housing &amp; Civic Infrastructure — Steward land and build durable spaces or systems that strengthen community resilience and opportunity.</x:v>
      </x:c>
      <x:c r="I320" s="101" t="str">
        <x:v>Land, Housing &amp; Civic Infrastructure Register</x:v>
      </x:c>
      <x:c r="J320" s="101" t="str">
        <x:v>Capture and maintain land stewardship; housing; public spaces; water; energy; digital access; civic facilities.</x:v>
      </x:c>
      <x:c r="K320" s="101" t="str">
        <x:v>land stewardship; housing; public spaces; water; energy; digital access; civic facilities</x:v>
      </x:c>
      <x:c r="L320" s="101" t="str">
        <x:v>Legacy Pack</x:v>
      </x:c>
      <x:c r="M320" s="101" t="str">
        <x:f>IF(B320&lt;='Unlock Map'!$B$11,"Enabled","Locked")</x:f>
        <x:v>Locked</x:v>
      </x:c>
    </x:row>
    <x:row r="321" ht="54" customHeight="1">
      <x:c r="A321" s="105" t="str">
        <x:v>S7-D4-E2</x:v>
      </x:c>
      <x:c r="B321" s="105" t="n">
        <x:v>7</x:v>
      </x:c>
      <x:c r="C321" s="105" t="str">
        <x:v>Fulfilling</x:v>
      </x:c>
      <x:c r="D321" s="105" t="n">
        <x:v>4</x:v>
      </x:c>
      <x:c r="E321" s="105" t="str">
        <x:v>Home, Utilities &amp; Assets</x:v>
      </x:c>
      <x:c r="F321" s="105" t="n">
        <x:v>2</x:v>
      </x:c>
      <x:c r="G321" s="105" t="str">
        <x:v>Plans</x:v>
      </x:c>
      <x:c r="H321" s="101" t="str">
        <x:v>Land, Housing &amp; Civic Infrastructure — Steward land and build durable spaces or systems that strengthen community resilience and opportunity.</x:v>
      </x:c>
      <x:c r="I321" s="101" t="str">
        <x:v>Land, Housing &amp; Civic Infrastructure Plan</x:v>
      </x:c>
      <x:c r="J321" s="101" t="str">
        <x:v>Set goals, budgets, schedules, thresholds, scenarios, and priorities for land, housing &amp; civic infrastructure.</x:v>
      </x:c>
      <x:c r="K321" s="101" t="str">
        <x:v>land stewardship; housing; public spaces; water; energy; digital access; civic facilities</x:v>
      </x:c>
      <x:c r="L321" s="101" t="str">
        <x:v>Legacy Pack</x:v>
      </x:c>
      <x:c r="M321" s="101" t="str">
        <x:f>IF(B321&lt;='Unlock Map'!$B$11,"Enabled","Locked")</x:f>
        <x:v>Locked</x:v>
      </x:c>
    </x:row>
    <x:row r="322" ht="54" customHeight="1">
      <x:c r="A322" s="105" t="str">
        <x:v>S7-D4-E3</x:v>
      </x:c>
      <x:c r="B322" s="105" t="n">
        <x:v>7</x:v>
      </x:c>
      <x:c r="C322" s="105" t="str">
        <x:v>Fulfilling</x:v>
      </x:c>
      <x:c r="D322" s="105" t="n">
        <x:v>4</x:v>
      </x:c>
      <x:c r="E322" s="105" t="str">
        <x:v>Home, Utilities &amp; Assets</x:v>
      </x:c>
      <x:c r="F322" s="105" t="n">
        <x:v>3</x:v>
      </x:c>
      <x:c r="G322" s="105" t="str">
        <x:v>Actions</x:v>
      </x:c>
      <x:c r="H322" s="101" t="str">
        <x:v>Land, Housing &amp; Civic Infrastructure — Steward land and build durable spaces or systems that strengthen community resilience and opportunity.</x:v>
      </x:c>
      <x:c r="I322" s="101" t="str">
        <x:v>Land, Housing &amp; Civic Infrastructure Actions</x:v>
      </x:c>
      <x:c r="J322" s="101" t="str">
        <x:v>Turn the land, housing &amp; civic infrastructure plan into owned tasks, routines, transactions, projects, and follow-ups.</x:v>
      </x:c>
      <x:c r="K322" s="101" t="str">
        <x:v>land stewardship; housing; public spaces; water; energy; digital access; civic facilities</x:v>
      </x:c>
      <x:c r="L322" s="101" t="str">
        <x:v>Legacy Pack</x:v>
      </x:c>
      <x:c r="M322" s="101" t="str">
        <x:f>IF(B322&lt;='Unlock Map'!$B$11,"Enabled","Locked")</x:f>
        <x:v>Locked</x:v>
      </x:c>
    </x:row>
    <x:row r="323" ht="54" customHeight="1">
      <x:c r="A323" s="105" t="str">
        <x:v>S7-D4-E4</x:v>
      </x:c>
      <x:c r="B323" s="105" t="n">
        <x:v>7</x:v>
      </x:c>
      <x:c r="C323" s="105" t="str">
        <x:v>Fulfilling</x:v>
      </x:c>
      <x:c r="D323" s="105" t="n">
        <x:v>4</x:v>
      </x:c>
      <x:c r="E323" s="105" t="str">
        <x:v>Home, Utilities &amp; Assets</x:v>
      </x:c>
      <x:c r="F323" s="105" t="n">
        <x:v>4</x:v>
      </x:c>
      <x:c r="G323" s="105" t="str">
        <x:v>Collaboration</x:v>
      </x:c>
      <x:c r="H323" s="101" t="str">
        <x:v>Land, Housing &amp; Civic Infrastructure — Steward land and build durable spaces or systems that strengthen community resilience and opportunity.</x:v>
      </x:c>
      <x:c r="I323" s="101" t="str">
        <x:v>Land, Housing &amp; Civic Infrastructure Coordination</x:v>
      </x:c>
      <x:c r="J323" s="101" t="str">
        <x:v>Share roles, messages, approvals, handoffs, and appropriate external access for land, housing &amp; civic infrastructure.</x:v>
      </x:c>
      <x:c r="K323" s="101" t="str">
        <x:v>land stewardship; housing; public spaces; water; energy; digital access; civic facilities</x:v>
      </x:c>
      <x:c r="L323" s="101" t="str">
        <x:v>Legacy Pack</x:v>
      </x:c>
      <x:c r="M323" s="101" t="str">
        <x:f>IF(B323&lt;='Unlock Map'!$B$11,"Enabled","Locked")</x:f>
        <x:v>Locked</x:v>
      </x:c>
    </x:row>
    <x:row r="324" ht="54" customHeight="1">
      <x:c r="A324" s="105" t="str">
        <x:v>S7-D4-E5</x:v>
      </x:c>
      <x:c r="B324" s="105" t="n">
        <x:v>7</x:v>
      </x:c>
      <x:c r="C324" s="105" t="str">
        <x:v>Fulfilling</x:v>
      </x:c>
      <x:c r="D324" s="105" t="n">
        <x:v>4</x:v>
      </x:c>
      <x:c r="E324" s="105" t="str">
        <x:v>Home, Utilities &amp; Assets</x:v>
      </x:c>
      <x:c r="F324" s="105" t="n">
        <x:v>5</x:v>
      </x:c>
      <x:c r="G324" s="105" t="str">
        <x:v>Safeguards</x:v>
      </x:c>
      <x:c r="H324" s="101" t="str">
        <x:v>Land, Housing &amp; Civic Infrastructure — Steward land and build durable spaces or systems that strengthen community resilience and opportunity.</x:v>
      </x:c>
      <x:c r="I324" s="101" t="str">
        <x:v>Land, Housing &amp; Civic Infrastructure Controls</x:v>
      </x:c>
      <x:c r="J324" s="101" t="str">
        <x:v>Apply permissions, limits, alerts, evidence, contingency rules, and exception handling to land, housing &amp; civic infrastructure.</x:v>
      </x:c>
      <x:c r="K324" s="101" t="str">
        <x:v>land stewardship; housing; public spaces; water; energy; digital access; civic facilities</x:v>
      </x:c>
      <x:c r="L324" s="101" t="str">
        <x:v>Legacy Pack</x:v>
      </x:c>
      <x:c r="M324" s="101" t="str">
        <x:f>IF(B324&lt;='Unlock Map'!$B$11,"Enabled","Locked")</x:f>
        <x:v>Locked</x:v>
      </x:c>
    </x:row>
    <x:row r="325" ht="54" customHeight="1">
      <x:c r="A325" s="105" t="str">
        <x:v>S7-D4-E6</x:v>
      </x:c>
      <x:c r="B325" s="105" t="n">
        <x:v>7</x:v>
      </x:c>
      <x:c r="C325" s="105" t="str">
        <x:v>Fulfilling</x:v>
      </x:c>
      <x:c r="D325" s="105" t="n">
        <x:v>4</x:v>
      </x:c>
      <x:c r="E325" s="105" t="str">
        <x:v>Home, Utilities &amp; Assets</x:v>
      </x:c>
      <x:c r="F325" s="105" t="n">
        <x:v>6</x:v>
      </x:c>
      <x:c r="G325" s="105" t="str">
        <x:v>Insights</x:v>
      </x:c>
      <x:c r="H325" s="101" t="str">
        <x:v>Land, Housing &amp; Civic Infrastructure — Steward land and build durable spaces or systems that strengthen community resilience and opportunity.</x:v>
      </x:c>
      <x:c r="I325" s="101" t="str">
        <x:v>Land, Housing &amp; Civic Infrastructure Review</x:v>
      </x:c>
      <x:c r="J325" s="101" t="str">
        <x:v>Show status, trends, gaps, risks, outcomes, and next decisions for land, housing &amp; civic infrastructure.</x:v>
      </x:c>
      <x:c r="K325" s="101" t="str">
        <x:v>land stewardship; housing; public spaces; water; energy; digital access; civic facilities</x:v>
      </x:c>
      <x:c r="L325" s="101" t="str">
        <x:v>Legacy Pack</x:v>
      </x:c>
      <x:c r="M325" s="101" t="str">
        <x:f>IF(B325&lt;='Unlock Map'!$B$11,"Enabled","Locked")</x:f>
        <x:v>Locked</x:v>
      </x:c>
    </x:row>
    <x:row r="326" ht="54" customHeight="1">
      <x:c r="A326" s="105" t="str">
        <x:v>S7-D4-E7</x:v>
      </x:c>
      <x:c r="B326" s="105" t="n">
        <x:v>7</x:v>
      </x:c>
      <x:c r="C326" s="105" t="str">
        <x:v>Fulfilling</x:v>
      </x:c>
      <x:c r="D326" s="105" t="n">
        <x:v>4</x:v>
      </x:c>
      <x:c r="E326" s="105" t="str">
        <x:v>Home, Utilities &amp; Assets</x:v>
      </x:c>
      <x:c r="F326" s="105" t="n">
        <x:v>7</x:v>
      </x:c>
      <x:c r="G326" s="105" t="str">
        <x:v>Automation</x:v>
      </x:c>
      <x:c r="H326" s="101" t="str">
        <x:v>Land, Housing &amp; Civic Infrastructure — Steward land and build durable spaces or systems that strengthen community resilience and opportunity.</x:v>
      </x:c>
      <x:c r="I326" s="101" t="str">
        <x:v>Land, Housing &amp; Civic Infrastructure Automation</x:v>
      </x:c>
      <x:c r="J326" s="101" t="str">
        <x:v>Use recurring rules, integrations, recommendations, and predictive reminders for land, housing &amp; civic infrastructure.</x:v>
      </x:c>
      <x:c r="K326" s="101" t="str">
        <x:v>land stewardship; housing; public spaces; water; energy; digital access; civic facilities</x:v>
      </x:c>
      <x:c r="L326" s="101" t="str">
        <x:v>Legacy Pack</x:v>
      </x:c>
      <x:c r="M326" s="101" t="str">
        <x:f>IF(B326&lt;='Unlock Map'!$B$11,"Enabled","Locked")</x:f>
        <x:v>Locked</x:v>
      </x:c>
    </x:row>
    <x:row r="327" ht="54" customHeight="1">
      <x:c r="A327" s="105" t="str">
        <x:v>S7-D5-E1</x:v>
      </x:c>
      <x:c r="B327" s="105" t="n">
        <x:v>7</x:v>
      </x:c>
      <x:c r="C327" s="105" t="str">
        <x:v>Fulfilling</x:v>
      </x:c>
      <x:c r="D327" s="105" t="n">
        <x:v>5</x:v>
      </x:c>
      <x:c r="E327" s="105" t="str">
        <x:v>Food, Time &amp; Daily Operations</x:v>
      </x:c>
      <x:c r="F327" s="105" t="n">
        <x:v>1</x:v>
      </x:c>
      <x:c r="G327" s="105" t="str">
        <x:v>Records</x:v>
      </x:c>
      <x:c r="H327" s="101" t="str">
        <x:v>Systems That Outlive Founders — Turn household practices and social work into documented, governed, renewable institutions.</x:v>
      </x:c>
      <x:c r="I327" s="101" t="str">
        <x:v>Systems That Outlive Founders Register</x:v>
      </x:c>
      <x:c r="J327" s="101" t="str">
        <x:v>Capture and maintain operating model; leadership pipeline; standards; funding; succession; audits; institutional memory.</x:v>
      </x:c>
      <x:c r="K327" s="101" t="str">
        <x:v>operating model; leadership pipeline; standards; funding; succession; audits; institutional memory</x:v>
      </x:c>
      <x:c r="L327" s="101" t="str">
        <x:v>Legacy Pack</x:v>
      </x:c>
      <x:c r="M327" s="101" t="str">
        <x:f>IF(B327&lt;='Unlock Map'!$B$11,"Enabled","Locked")</x:f>
        <x:v>Locked</x:v>
      </x:c>
    </x:row>
    <x:row r="328" ht="54" customHeight="1">
      <x:c r="A328" s="105" t="str">
        <x:v>S7-D5-E2</x:v>
      </x:c>
      <x:c r="B328" s="105" t="n">
        <x:v>7</x:v>
      </x:c>
      <x:c r="C328" s="105" t="str">
        <x:v>Fulfilling</x:v>
      </x:c>
      <x:c r="D328" s="105" t="n">
        <x:v>5</x:v>
      </x:c>
      <x:c r="E328" s="105" t="str">
        <x:v>Food, Time &amp; Daily Operations</x:v>
      </x:c>
      <x:c r="F328" s="105" t="n">
        <x:v>2</x:v>
      </x:c>
      <x:c r="G328" s="105" t="str">
        <x:v>Plans</x:v>
      </x:c>
      <x:c r="H328" s="101" t="str">
        <x:v>Systems That Outlive Founders — Turn household practices and social work into documented, governed, renewable institutions.</x:v>
      </x:c>
      <x:c r="I328" s="101" t="str">
        <x:v>Systems That Outlive Founders Plan</x:v>
      </x:c>
      <x:c r="J328" s="101" t="str">
        <x:v>Set goals, budgets, schedules, thresholds, scenarios, and priorities for systems that outlive founders.</x:v>
      </x:c>
      <x:c r="K328" s="101" t="str">
        <x:v>operating model; leadership pipeline; standards; funding; succession; audits; institutional memory</x:v>
      </x:c>
      <x:c r="L328" s="101" t="str">
        <x:v>Legacy Pack</x:v>
      </x:c>
      <x:c r="M328" s="101" t="str">
        <x:f>IF(B328&lt;='Unlock Map'!$B$11,"Enabled","Locked")</x:f>
        <x:v>Locked</x:v>
      </x:c>
    </x:row>
    <x:row r="329" ht="54" customHeight="1">
      <x:c r="A329" s="105" t="str">
        <x:v>S7-D5-E3</x:v>
      </x:c>
      <x:c r="B329" s="105" t="n">
        <x:v>7</x:v>
      </x:c>
      <x:c r="C329" s="105" t="str">
        <x:v>Fulfilling</x:v>
      </x:c>
      <x:c r="D329" s="105" t="n">
        <x:v>5</x:v>
      </x:c>
      <x:c r="E329" s="105" t="str">
        <x:v>Food, Time &amp; Daily Operations</x:v>
      </x:c>
      <x:c r="F329" s="105" t="n">
        <x:v>3</x:v>
      </x:c>
      <x:c r="G329" s="105" t="str">
        <x:v>Actions</x:v>
      </x:c>
      <x:c r="H329" s="101" t="str">
        <x:v>Systems That Outlive Founders — Turn household practices and social work into documented, governed, renewable institutions.</x:v>
      </x:c>
      <x:c r="I329" s="101" t="str">
        <x:v>Systems That Outlive Founders Actions</x:v>
      </x:c>
      <x:c r="J329" s="101" t="str">
        <x:v>Turn the systems that outlive founders plan into owned tasks, routines, transactions, projects, and follow-ups.</x:v>
      </x:c>
      <x:c r="K329" s="101" t="str">
        <x:v>operating model; leadership pipeline; standards; funding; succession; audits; institutional memory</x:v>
      </x:c>
      <x:c r="L329" s="101" t="str">
        <x:v>Legacy Pack</x:v>
      </x:c>
      <x:c r="M329" s="101" t="str">
        <x:f>IF(B329&lt;='Unlock Map'!$B$11,"Enabled","Locked")</x:f>
        <x:v>Locked</x:v>
      </x:c>
    </x:row>
    <x:row r="330" ht="54" customHeight="1">
      <x:c r="A330" s="105" t="str">
        <x:v>S7-D5-E4</x:v>
      </x:c>
      <x:c r="B330" s="105" t="n">
        <x:v>7</x:v>
      </x:c>
      <x:c r="C330" s="105" t="str">
        <x:v>Fulfilling</x:v>
      </x:c>
      <x:c r="D330" s="105" t="n">
        <x:v>5</x:v>
      </x:c>
      <x:c r="E330" s="105" t="str">
        <x:v>Food, Time &amp; Daily Operations</x:v>
      </x:c>
      <x:c r="F330" s="105" t="n">
        <x:v>4</x:v>
      </x:c>
      <x:c r="G330" s="105" t="str">
        <x:v>Collaboration</x:v>
      </x:c>
      <x:c r="H330" s="101" t="str">
        <x:v>Systems That Outlive Founders — Turn household practices and social work into documented, governed, renewable institutions.</x:v>
      </x:c>
      <x:c r="I330" s="101" t="str">
        <x:v>Systems That Outlive Founders Coordination</x:v>
      </x:c>
      <x:c r="J330" s="101" t="str">
        <x:v>Share roles, messages, approvals, handoffs, and appropriate external access for systems that outlive founders.</x:v>
      </x:c>
      <x:c r="K330" s="101" t="str">
        <x:v>operating model; leadership pipeline; standards; funding; succession; audits; institutional memory</x:v>
      </x:c>
      <x:c r="L330" s="101" t="str">
        <x:v>Legacy Pack</x:v>
      </x:c>
      <x:c r="M330" s="101" t="str">
        <x:f>IF(B330&lt;='Unlock Map'!$B$11,"Enabled","Locked")</x:f>
        <x:v>Locked</x:v>
      </x:c>
    </x:row>
    <x:row r="331" ht="54" customHeight="1">
      <x:c r="A331" s="105" t="str">
        <x:v>S7-D5-E5</x:v>
      </x:c>
      <x:c r="B331" s="105" t="n">
        <x:v>7</x:v>
      </x:c>
      <x:c r="C331" s="105" t="str">
        <x:v>Fulfilling</x:v>
      </x:c>
      <x:c r="D331" s="105" t="n">
        <x:v>5</x:v>
      </x:c>
      <x:c r="E331" s="105" t="str">
        <x:v>Food, Time &amp; Daily Operations</x:v>
      </x:c>
      <x:c r="F331" s="105" t="n">
        <x:v>5</x:v>
      </x:c>
      <x:c r="G331" s="105" t="str">
        <x:v>Safeguards</x:v>
      </x:c>
      <x:c r="H331" s="101" t="str">
        <x:v>Systems That Outlive Founders — Turn household practices and social work into documented, governed, renewable institutions.</x:v>
      </x:c>
      <x:c r="I331" s="101" t="str">
        <x:v>Systems That Outlive Founders Controls</x:v>
      </x:c>
      <x:c r="J331" s="101" t="str">
        <x:v>Apply permissions, limits, alerts, evidence, contingency rules, and exception handling to systems that outlive founders.</x:v>
      </x:c>
      <x:c r="K331" s="101" t="str">
        <x:v>operating model; leadership pipeline; standards; funding; succession; audits; institutional memory</x:v>
      </x:c>
      <x:c r="L331" s="101" t="str">
        <x:v>Legacy Pack</x:v>
      </x:c>
      <x:c r="M331" s="101" t="str">
        <x:f>IF(B331&lt;='Unlock Map'!$B$11,"Enabled","Locked")</x:f>
        <x:v>Locked</x:v>
      </x:c>
    </x:row>
    <x:row r="332" ht="54" customHeight="1">
      <x:c r="A332" s="105" t="str">
        <x:v>S7-D5-E6</x:v>
      </x:c>
      <x:c r="B332" s="105" t="n">
        <x:v>7</x:v>
      </x:c>
      <x:c r="C332" s="105" t="str">
        <x:v>Fulfilling</x:v>
      </x:c>
      <x:c r="D332" s="105" t="n">
        <x:v>5</x:v>
      </x:c>
      <x:c r="E332" s="105" t="str">
        <x:v>Food, Time &amp; Daily Operations</x:v>
      </x:c>
      <x:c r="F332" s="105" t="n">
        <x:v>6</x:v>
      </x:c>
      <x:c r="G332" s="105" t="str">
        <x:v>Insights</x:v>
      </x:c>
      <x:c r="H332" s="101" t="str">
        <x:v>Systems That Outlive Founders — Turn household practices and social work into documented, governed, renewable institutions.</x:v>
      </x:c>
      <x:c r="I332" s="101" t="str">
        <x:v>Systems That Outlive Founders Review</x:v>
      </x:c>
      <x:c r="J332" s="101" t="str">
        <x:v>Show status, trends, gaps, risks, outcomes, and next decisions for systems that outlive founders.</x:v>
      </x:c>
      <x:c r="K332" s="101" t="str">
        <x:v>operating model; leadership pipeline; standards; funding; succession; audits; institutional memory</x:v>
      </x:c>
      <x:c r="L332" s="101" t="str">
        <x:v>Legacy Pack</x:v>
      </x:c>
      <x:c r="M332" s="101" t="str">
        <x:f>IF(B332&lt;='Unlock Map'!$B$11,"Enabled","Locked")</x:f>
        <x:v>Locked</x:v>
      </x:c>
    </x:row>
    <x:row r="333" ht="54" customHeight="1">
      <x:c r="A333" s="105" t="str">
        <x:v>S7-D5-E7</x:v>
      </x:c>
      <x:c r="B333" s="105" t="n">
        <x:v>7</x:v>
      </x:c>
      <x:c r="C333" s="105" t="str">
        <x:v>Fulfilling</x:v>
      </x:c>
      <x:c r="D333" s="105" t="n">
        <x:v>5</x:v>
      </x:c>
      <x:c r="E333" s="105" t="str">
        <x:v>Food, Time &amp; Daily Operations</x:v>
      </x:c>
      <x:c r="F333" s="105" t="n">
        <x:v>7</x:v>
      </x:c>
      <x:c r="G333" s="105" t="str">
        <x:v>Automation</x:v>
      </x:c>
      <x:c r="H333" s="101" t="str">
        <x:v>Systems That Outlive Founders — Turn household practices and social work into documented, governed, renewable institutions.</x:v>
      </x:c>
      <x:c r="I333" s="101" t="str">
        <x:v>Systems That Outlive Founders Automation</x:v>
      </x:c>
      <x:c r="J333" s="101" t="str">
        <x:v>Use recurring rules, integrations, recommendations, and predictive reminders for systems that outlive founders.</x:v>
      </x:c>
      <x:c r="K333" s="101" t="str">
        <x:v>operating model; leadership pipeline; standards; funding; succession; audits; institutional memory</x:v>
      </x:c>
      <x:c r="L333" s="101" t="str">
        <x:v>Legacy Pack</x:v>
      </x:c>
      <x:c r="M333" s="101" t="str">
        <x:f>IF(B333&lt;='Unlock Map'!$B$11,"Enabled","Locked")</x:f>
        <x:v>Locked</x:v>
      </x:c>
    </x:row>
    <x:row r="334" ht="54" customHeight="1">
      <x:c r="A334" s="105" t="str">
        <x:v>S7-D6-E1</x:v>
      </x:c>
      <x:c r="B334" s="105" t="n">
        <x:v>7</x:v>
      </x:c>
      <x:c r="C334" s="105" t="str">
        <x:v>Fulfilling</x:v>
      </x:c>
      <x:c r="D334" s="105" t="n">
        <x:v>6</x:v>
      </x:c>
      <x:c r="E334" s="105" t="str">
        <x:v>Family, Relationships &amp; Community</x:v>
      </x:c>
      <x:c r="F334" s="105" t="n">
        <x:v>1</x:v>
      </x:c>
      <x:c r="G334" s="105" t="str">
        <x:v>Records</x:v>
      </x:c>
      <x:c r="H334" s="101" t="str">
        <x:v>Lineage of Public Service — Enable multiple generations to contribute freely and credibly without turning lineage into entitlement.</x:v>
      </x:c>
      <x:c r="I334" s="101" t="str">
        <x:v>Lineage of Public Service Register</x:v>
      </x:c>
      <x:c r="J334" s="101" t="str">
        <x:v>Capture and maintain service records; public roles; partnerships; ethics; community trust; national and global contribution.</x:v>
      </x:c>
      <x:c r="K334" s="101" t="str">
        <x:v>service records; public roles; partnerships; ethics; community trust; national and global contribution</x:v>
      </x:c>
      <x:c r="L334" s="101" t="str">
        <x:v>Legacy Pack</x:v>
      </x:c>
      <x:c r="M334" s="101" t="str">
        <x:f>IF(B334&lt;='Unlock Map'!$B$11,"Enabled","Locked")</x:f>
        <x:v>Locked</x:v>
      </x:c>
    </x:row>
    <x:row r="335" ht="54" customHeight="1">
      <x:c r="A335" s="105" t="str">
        <x:v>S7-D6-E2</x:v>
      </x:c>
      <x:c r="B335" s="105" t="n">
        <x:v>7</x:v>
      </x:c>
      <x:c r="C335" s="105" t="str">
        <x:v>Fulfilling</x:v>
      </x:c>
      <x:c r="D335" s="105" t="n">
        <x:v>6</x:v>
      </x:c>
      <x:c r="E335" s="105" t="str">
        <x:v>Family, Relationships &amp; Community</x:v>
      </x:c>
      <x:c r="F335" s="105" t="n">
        <x:v>2</x:v>
      </x:c>
      <x:c r="G335" s="105" t="str">
        <x:v>Plans</x:v>
      </x:c>
      <x:c r="H335" s="101" t="str">
        <x:v>Lineage of Public Service — Enable multiple generations to contribute freely and credibly without turning lineage into entitlement.</x:v>
      </x:c>
      <x:c r="I335" s="101" t="str">
        <x:v>Lineage of Public Service Plan</x:v>
      </x:c>
      <x:c r="J335" s="101" t="str">
        <x:v>Set goals, budgets, schedules, thresholds, scenarios, and priorities for lineage of public service.</x:v>
      </x:c>
      <x:c r="K335" s="101" t="str">
        <x:v>service records; public roles; partnerships; ethics; community trust; national and global contribution</x:v>
      </x:c>
      <x:c r="L335" s="101" t="str">
        <x:v>Legacy Pack</x:v>
      </x:c>
      <x:c r="M335" s="101" t="str">
        <x:f>IF(B335&lt;='Unlock Map'!$B$11,"Enabled","Locked")</x:f>
        <x:v>Locked</x:v>
      </x:c>
    </x:row>
    <x:row r="336" ht="54" customHeight="1">
      <x:c r="A336" s="105" t="str">
        <x:v>S7-D6-E3</x:v>
      </x:c>
      <x:c r="B336" s="105" t="n">
        <x:v>7</x:v>
      </x:c>
      <x:c r="C336" s="105" t="str">
        <x:v>Fulfilling</x:v>
      </x:c>
      <x:c r="D336" s="105" t="n">
        <x:v>6</x:v>
      </x:c>
      <x:c r="E336" s="105" t="str">
        <x:v>Family, Relationships &amp; Community</x:v>
      </x:c>
      <x:c r="F336" s="105" t="n">
        <x:v>3</x:v>
      </x:c>
      <x:c r="G336" s="105" t="str">
        <x:v>Actions</x:v>
      </x:c>
      <x:c r="H336" s="101" t="str">
        <x:v>Lineage of Public Service — Enable multiple generations to contribute freely and credibly without turning lineage into entitlement.</x:v>
      </x:c>
      <x:c r="I336" s="101" t="str">
        <x:v>Lineage of Public Service Actions</x:v>
      </x:c>
      <x:c r="J336" s="101" t="str">
        <x:v>Turn the lineage of public service plan into owned tasks, routines, transactions, projects, and follow-ups.</x:v>
      </x:c>
      <x:c r="K336" s="101" t="str">
        <x:v>service records; public roles; partnerships; ethics; community trust; national and global contribution</x:v>
      </x:c>
      <x:c r="L336" s="101" t="str">
        <x:v>Legacy Pack</x:v>
      </x:c>
      <x:c r="M336" s="101" t="str">
        <x:f>IF(B336&lt;='Unlock Map'!$B$11,"Enabled","Locked")</x:f>
        <x:v>Locked</x:v>
      </x:c>
    </x:row>
    <x:row r="337" ht="54" customHeight="1">
      <x:c r="A337" s="105" t="str">
        <x:v>S7-D6-E4</x:v>
      </x:c>
      <x:c r="B337" s="105" t="n">
        <x:v>7</x:v>
      </x:c>
      <x:c r="C337" s="105" t="str">
        <x:v>Fulfilling</x:v>
      </x:c>
      <x:c r="D337" s="105" t="n">
        <x:v>6</x:v>
      </x:c>
      <x:c r="E337" s="105" t="str">
        <x:v>Family, Relationships &amp; Community</x:v>
      </x:c>
      <x:c r="F337" s="105" t="n">
        <x:v>4</x:v>
      </x:c>
      <x:c r="G337" s="105" t="str">
        <x:v>Collaboration</x:v>
      </x:c>
      <x:c r="H337" s="101" t="str">
        <x:v>Lineage of Public Service — Enable multiple generations to contribute freely and credibly without turning lineage into entitlement.</x:v>
      </x:c>
      <x:c r="I337" s="101" t="str">
        <x:v>Lineage of Public Service Coordination</x:v>
      </x:c>
      <x:c r="J337" s="101" t="str">
        <x:v>Share roles, messages, approvals, handoffs, and appropriate external access for lineage of public service.</x:v>
      </x:c>
      <x:c r="K337" s="101" t="str">
        <x:v>service records; public roles; partnerships; ethics; community trust; national and global contribution</x:v>
      </x:c>
      <x:c r="L337" s="101" t="str">
        <x:v>Legacy Pack</x:v>
      </x:c>
      <x:c r="M337" s="101" t="str">
        <x:f>IF(B337&lt;='Unlock Map'!$B$11,"Enabled","Locked")</x:f>
        <x:v>Locked</x:v>
      </x:c>
    </x:row>
    <x:row r="338" ht="54" customHeight="1">
      <x:c r="A338" s="105" t="str">
        <x:v>S7-D6-E5</x:v>
      </x:c>
      <x:c r="B338" s="105" t="n">
        <x:v>7</x:v>
      </x:c>
      <x:c r="C338" s="105" t="str">
        <x:v>Fulfilling</x:v>
      </x:c>
      <x:c r="D338" s="105" t="n">
        <x:v>6</x:v>
      </x:c>
      <x:c r="E338" s="105" t="str">
        <x:v>Family, Relationships &amp; Community</x:v>
      </x:c>
      <x:c r="F338" s="105" t="n">
        <x:v>5</x:v>
      </x:c>
      <x:c r="G338" s="105" t="str">
        <x:v>Safeguards</x:v>
      </x:c>
      <x:c r="H338" s="101" t="str">
        <x:v>Lineage of Public Service — Enable multiple generations to contribute freely and credibly without turning lineage into entitlement.</x:v>
      </x:c>
      <x:c r="I338" s="101" t="str">
        <x:v>Lineage of Public Service Controls</x:v>
      </x:c>
      <x:c r="J338" s="101" t="str">
        <x:v>Apply permissions, limits, alerts, evidence, contingency rules, and exception handling to lineage of public service.</x:v>
      </x:c>
      <x:c r="K338" s="101" t="str">
        <x:v>service records; public roles; partnerships; ethics; community trust; national and global contribution</x:v>
      </x:c>
      <x:c r="L338" s="101" t="str">
        <x:v>Legacy Pack</x:v>
      </x:c>
      <x:c r="M338" s="101" t="str">
        <x:f>IF(B338&lt;='Unlock Map'!$B$11,"Enabled","Locked")</x:f>
        <x:v>Locked</x:v>
      </x:c>
    </x:row>
    <x:row r="339" ht="54" customHeight="1">
      <x:c r="A339" s="105" t="str">
        <x:v>S7-D6-E6</x:v>
      </x:c>
      <x:c r="B339" s="105" t="n">
        <x:v>7</x:v>
      </x:c>
      <x:c r="C339" s="105" t="str">
        <x:v>Fulfilling</x:v>
      </x:c>
      <x:c r="D339" s="105" t="n">
        <x:v>6</x:v>
      </x:c>
      <x:c r="E339" s="105" t="str">
        <x:v>Family, Relationships &amp; Community</x:v>
      </x:c>
      <x:c r="F339" s="105" t="n">
        <x:v>6</x:v>
      </x:c>
      <x:c r="G339" s="105" t="str">
        <x:v>Insights</x:v>
      </x:c>
      <x:c r="H339" s="101" t="str">
        <x:v>Lineage of Public Service — Enable multiple generations to contribute freely and credibly without turning lineage into entitlement.</x:v>
      </x:c>
      <x:c r="I339" s="101" t="str">
        <x:v>Lineage of Public Service Review</x:v>
      </x:c>
      <x:c r="J339" s="101" t="str">
        <x:v>Show status, trends, gaps, risks, outcomes, and next decisions for lineage of public service.</x:v>
      </x:c>
      <x:c r="K339" s="101" t="str">
        <x:v>service records; public roles; partnerships; ethics; community trust; national and global contribution</x:v>
      </x:c>
      <x:c r="L339" s="101" t="str">
        <x:v>Legacy Pack</x:v>
      </x:c>
      <x:c r="M339" s="101" t="str">
        <x:f>IF(B339&lt;='Unlock Map'!$B$11,"Enabled","Locked")</x:f>
        <x:v>Locked</x:v>
      </x:c>
    </x:row>
    <x:row r="340" ht="54" customHeight="1">
      <x:c r="A340" s="105" t="str">
        <x:v>S7-D6-E7</x:v>
      </x:c>
      <x:c r="B340" s="105" t="n">
        <x:v>7</x:v>
      </x:c>
      <x:c r="C340" s="105" t="str">
        <x:v>Fulfilling</x:v>
      </x:c>
      <x:c r="D340" s="105" t="n">
        <x:v>6</x:v>
      </x:c>
      <x:c r="E340" s="105" t="str">
        <x:v>Family, Relationships &amp; Community</x:v>
      </x:c>
      <x:c r="F340" s="105" t="n">
        <x:v>7</x:v>
      </x:c>
      <x:c r="G340" s="105" t="str">
        <x:v>Automation</x:v>
      </x:c>
      <x:c r="H340" s="101" t="str">
        <x:v>Lineage of Public Service — Enable multiple generations to contribute freely and credibly without turning lineage into entitlement.</x:v>
      </x:c>
      <x:c r="I340" s="101" t="str">
        <x:v>Lineage of Public Service Automation</x:v>
      </x:c>
      <x:c r="J340" s="101" t="str">
        <x:v>Use recurring rules, integrations, recommendations, and predictive reminders for lineage of public service.</x:v>
      </x:c>
      <x:c r="K340" s="101" t="str">
        <x:v>service records; public roles; partnerships; ethics; community trust; national and global contribution</x:v>
      </x:c>
      <x:c r="L340" s="101" t="str">
        <x:v>Legacy Pack</x:v>
      </x:c>
      <x:c r="M340" s="101" t="str">
        <x:f>IF(B340&lt;='Unlock Map'!$B$11,"Enabled","Locked")</x:f>
        <x:v>Locked</x:v>
      </x:c>
    </x:row>
    <x:row r="341" ht="54" customHeight="1">
      <x:c r="A341" s="105" t="str">
        <x:v>S7-D7-E1</x:v>
      </x:c>
      <x:c r="B341" s="105" t="n">
        <x:v>7</x:v>
      </x:c>
      <x:c r="C341" s="105" t="str">
        <x:v>Fulfilling</x:v>
      </x:c>
      <x:c r="D341" s="105" t="n">
        <x:v>7</x:v>
      </x:c>
      <x:c r="E341" s="105" t="str">
        <x:v>Safety, Legal &amp; Governance</x:v>
      </x:c>
      <x:c r="F341" s="105" t="n">
        <x:v>1</x:v>
      </x:c>
      <x:c r="G341" s="105" t="str">
        <x:v>Records</x:v>
      </x:c>
      <x:c r="H341" s="101" t="str">
        <x:v>Family Charter, Memory &amp; Renewal — Preserve purpose and memory while allowing each generation to question, repair, reinterpret, and renew the lineage.</x:v>
      </x:c>
      <x:c r="I341" s="101" t="str">
        <x:v>Family Charter, Memory &amp; Renewal Register</x:v>
      </x:c>
      <x:c r="J341" s="101" t="str">
        <x:v>Capture and maintain family charter; constitution; archive; history; values; amendment process; renewal rituals.</x:v>
      </x:c>
      <x:c r="K341" s="101" t="str">
        <x:v>family charter; constitution; archive; history; values; amendment process; renewal rituals</x:v>
      </x:c>
      <x:c r="L341" s="101" t="str">
        <x:v>Legacy Pack</x:v>
      </x:c>
      <x:c r="M341" s="101" t="str">
        <x:f>IF(B341&lt;='Unlock Map'!$B$11,"Enabled","Locked")</x:f>
        <x:v>Locked</x:v>
      </x:c>
    </x:row>
    <x:row r="342" ht="54" customHeight="1">
      <x:c r="A342" s="105" t="str">
        <x:v>S7-D7-E2</x:v>
      </x:c>
      <x:c r="B342" s="105" t="n">
        <x:v>7</x:v>
      </x:c>
      <x:c r="C342" s="105" t="str">
        <x:v>Fulfilling</x:v>
      </x:c>
      <x:c r="D342" s="105" t="n">
        <x:v>7</x:v>
      </x:c>
      <x:c r="E342" s="105" t="str">
        <x:v>Safety, Legal &amp; Governance</x:v>
      </x:c>
      <x:c r="F342" s="105" t="n">
        <x:v>2</x:v>
      </x:c>
      <x:c r="G342" s="105" t="str">
        <x:v>Plans</x:v>
      </x:c>
      <x:c r="H342" s="101" t="str">
        <x:v>Family Charter, Memory &amp; Renewal — Preserve purpose and memory while allowing each generation to question, repair, reinterpret, and renew the lineage.</x:v>
      </x:c>
      <x:c r="I342" s="101" t="str">
        <x:v>Family Charter, Memory &amp; Renewal Plan</x:v>
      </x:c>
      <x:c r="J342" s="101" t="str">
        <x:v>Set goals, budgets, schedules, thresholds, scenarios, and priorities for family charter, memory &amp; renewal.</x:v>
      </x:c>
      <x:c r="K342" s="101" t="str">
        <x:v>family charter; constitution; archive; history; values; amendment process; renewal rituals</x:v>
      </x:c>
      <x:c r="L342" s="101" t="str">
        <x:v>Legacy Pack</x:v>
      </x:c>
      <x:c r="M342" s="101" t="str">
        <x:f>IF(B342&lt;='Unlock Map'!$B$11,"Enabled","Locked")</x:f>
        <x:v>Locked</x:v>
      </x:c>
    </x:row>
    <x:row r="343" ht="54" customHeight="1">
      <x:c r="A343" s="105" t="str">
        <x:v>S7-D7-E3</x:v>
      </x:c>
      <x:c r="B343" s="105" t="n">
        <x:v>7</x:v>
      </x:c>
      <x:c r="C343" s="105" t="str">
        <x:v>Fulfilling</x:v>
      </x:c>
      <x:c r="D343" s="105" t="n">
        <x:v>7</x:v>
      </x:c>
      <x:c r="E343" s="105" t="str">
        <x:v>Safety, Legal &amp; Governance</x:v>
      </x:c>
      <x:c r="F343" s="105" t="n">
        <x:v>3</x:v>
      </x:c>
      <x:c r="G343" s="105" t="str">
        <x:v>Actions</x:v>
      </x:c>
      <x:c r="H343" s="101" t="str">
        <x:v>Family Charter, Memory &amp; Renewal — Preserve purpose and memory while allowing each generation to question, repair, reinterpret, and renew the lineage.</x:v>
      </x:c>
      <x:c r="I343" s="101" t="str">
        <x:v>Family Charter, Memory &amp; Renewal Actions</x:v>
      </x:c>
      <x:c r="J343" s="101" t="str">
        <x:v>Turn the family charter, memory &amp; renewal plan into owned tasks, routines, transactions, projects, and follow-ups.</x:v>
      </x:c>
      <x:c r="K343" s="101" t="str">
        <x:v>family charter; constitution; archive; history; values; amendment process; renewal rituals</x:v>
      </x:c>
      <x:c r="L343" s="101" t="str">
        <x:v>Legacy Pack</x:v>
      </x:c>
      <x:c r="M343" s="101" t="str">
        <x:f>IF(B343&lt;='Unlock Map'!$B$11,"Enabled","Locked")</x:f>
        <x:v>Locked</x:v>
      </x:c>
    </x:row>
    <x:row r="344" ht="54" customHeight="1">
      <x:c r="A344" s="105" t="str">
        <x:v>S7-D7-E4</x:v>
      </x:c>
      <x:c r="B344" s="105" t="n">
        <x:v>7</x:v>
      </x:c>
      <x:c r="C344" s="105" t="str">
        <x:v>Fulfilling</x:v>
      </x:c>
      <x:c r="D344" s="105" t="n">
        <x:v>7</x:v>
      </x:c>
      <x:c r="E344" s="105" t="str">
        <x:v>Safety, Legal &amp; Governance</x:v>
      </x:c>
      <x:c r="F344" s="105" t="n">
        <x:v>4</x:v>
      </x:c>
      <x:c r="G344" s="105" t="str">
        <x:v>Collaboration</x:v>
      </x:c>
      <x:c r="H344" s="101" t="str">
        <x:v>Family Charter, Memory &amp; Renewal — Preserve purpose and memory while allowing each generation to question, repair, reinterpret, and renew the lineage.</x:v>
      </x:c>
      <x:c r="I344" s="101" t="str">
        <x:v>Family Charter, Memory &amp; Renewal Coordination</x:v>
      </x:c>
      <x:c r="J344" s="101" t="str">
        <x:v>Share roles, messages, approvals, handoffs, and appropriate external access for family charter, memory &amp; renewal.</x:v>
      </x:c>
      <x:c r="K344" s="101" t="str">
        <x:v>family charter; constitution; archive; history; values; amendment process; renewal rituals</x:v>
      </x:c>
      <x:c r="L344" s="101" t="str">
        <x:v>Legacy Pack</x:v>
      </x:c>
      <x:c r="M344" s="101" t="str">
        <x:f>IF(B344&lt;='Unlock Map'!$B$11,"Enabled","Locked")</x:f>
        <x:v>Locked</x:v>
      </x:c>
    </x:row>
    <x:row r="345" ht="54" customHeight="1">
      <x:c r="A345" s="105" t="str">
        <x:v>S7-D7-E5</x:v>
      </x:c>
      <x:c r="B345" s="105" t="n">
        <x:v>7</x:v>
      </x:c>
      <x:c r="C345" s="105" t="str">
        <x:v>Fulfilling</x:v>
      </x:c>
      <x:c r="D345" s="105" t="n">
        <x:v>7</x:v>
      </x:c>
      <x:c r="E345" s="105" t="str">
        <x:v>Safety, Legal &amp; Governance</x:v>
      </x:c>
      <x:c r="F345" s="105" t="n">
        <x:v>5</x:v>
      </x:c>
      <x:c r="G345" s="105" t="str">
        <x:v>Safeguards</x:v>
      </x:c>
      <x:c r="H345" s="101" t="str">
        <x:v>Family Charter, Memory &amp; Renewal — Preserve purpose and memory while allowing each generation to question, repair, reinterpret, and renew the lineage.</x:v>
      </x:c>
      <x:c r="I345" s="101" t="str">
        <x:v>Family Charter, Memory &amp; Renewal Controls</x:v>
      </x:c>
      <x:c r="J345" s="101" t="str">
        <x:v>Apply permissions, limits, alerts, evidence, contingency rules, and exception handling to family charter, memory &amp; renewal.</x:v>
      </x:c>
      <x:c r="K345" s="101" t="str">
        <x:v>family charter; constitution; archive; history; values; amendment process; renewal rituals</x:v>
      </x:c>
      <x:c r="L345" s="101" t="str">
        <x:v>Legacy Pack</x:v>
      </x:c>
      <x:c r="M345" s="101" t="str">
        <x:f>IF(B345&lt;='Unlock Map'!$B$11,"Enabled","Locked")</x:f>
        <x:v>Locked</x:v>
      </x:c>
    </x:row>
    <x:row r="346" ht="54" customHeight="1">
      <x:c r="A346" s="105" t="str">
        <x:v>S7-D7-E6</x:v>
      </x:c>
      <x:c r="B346" s="105" t="n">
        <x:v>7</x:v>
      </x:c>
      <x:c r="C346" s="105" t="str">
        <x:v>Fulfilling</x:v>
      </x:c>
      <x:c r="D346" s="105" t="n">
        <x:v>7</x:v>
      </x:c>
      <x:c r="E346" s="105" t="str">
        <x:v>Safety, Legal &amp; Governance</x:v>
      </x:c>
      <x:c r="F346" s="105" t="n">
        <x:v>6</x:v>
      </x:c>
      <x:c r="G346" s="105" t="str">
        <x:v>Insights</x:v>
      </x:c>
      <x:c r="H346" s="101" t="str">
        <x:v>Family Charter, Memory &amp; Renewal — Preserve purpose and memory while allowing each generation to question, repair, reinterpret, and renew the lineage.</x:v>
      </x:c>
      <x:c r="I346" s="101" t="str">
        <x:v>Family Charter, Memory &amp; Renewal Review</x:v>
      </x:c>
      <x:c r="J346" s="101" t="str">
        <x:v>Show status, trends, gaps, risks, outcomes, and next decisions for family charter, memory &amp; renewal.</x:v>
      </x:c>
      <x:c r="K346" s="101" t="str">
        <x:v>family charter; constitution; archive; history; values; amendment process; renewal rituals</x:v>
      </x:c>
      <x:c r="L346" s="101" t="str">
        <x:v>Legacy Pack</x:v>
      </x:c>
      <x:c r="M346" s="101" t="str">
        <x:f>IF(B346&lt;='Unlock Map'!$B$11,"Enabled","Locked")</x:f>
        <x:v>Locked</x:v>
      </x:c>
    </x:row>
    <x:row r="347" ht="54" customHeight="1">
      <x:c r="A347" s="105" t="str">
        <x:v>S7-D7-E7</x:v>
      </x:c>
      <x:c r="B347" s="105" t="n">
        <x:v>7</x:v>
      </x:c>
      <x:c r="C347" s="105" t="str">
        <x:v>Fulfilling</x:v>
      </x:c>
      <x:c r="D347" s="105" t="n">
        <x:v>7</x:v>
      </x:c>
      <x:c r="E347" s="105" t="str">
        <x:v>Safety, Legal &amp; Governance</x:v>
      </x:c>
      <x:c r="F347" s="105" t="n">
        <x:v>7</x:v>
      </x:c>
      <x:c r="G347" s="105" t="str">
        <x:v>Automation</x:v>
      </x:c>
      <x:c r="H347" s="101" t="str">
        <x:v>Family Charter, Memory &amp; Renewal — Preserve purpose and memory while allowing each generation to question, repair, reinterpret, and renew the lineage.</x:v>
      </x:c>
      <x:c r="I347" s="101" t="str">
        <x:v>Family Charter, Memory &amp; Renewal Automation</x:v>
      </x:c>
      <x:c r="J347" s="101" t="str">
        <x:v>Use recurring rules, integrations, recommendations, and predictive reminders for family charter, memory &amp; renewal.</x:v>
      </x:c>
      <x:c r="K347" s="101" t="str">
        <x:v>family charter; constitution; archive; history; values; amendment process; renewal rituals</x:v>
      </x:c>
      <x:c r="L347" s="101" t="str">
        <x:v>Legacy Pack</x:v>
      </x:c>
      <x:c r="M347" s="101" t="str">
        <x:f>IF(B347&lt;='Unlock Map'!$B$11,"Enabled","Locked")</x:f>
        <x:v>Locked</x:v>
      </x:c>
    </x:row>
  </x:sheetData>
  <x:mergeCells>
    <x:mergeCell ref="A1:M2"/>
  </x:mergeCells>
  <x:conditionalFormatting sqref="M5:M347">
    <x:cfRule type="containsText" dxfId="0" priority="1" operator="containsText" text="Enabled"/>
    <x:cfRule type="containsText" dxfId="1" priority="2" operator="containsText" text="Locked"/>
  </x:conditionalFormatting>
  <x:pageMargins left="0.7" right="0.7" top="0.75" bottom="0.75" header="0.3" footer="0.3"/>
  <x:legacyDrawing xmlns:r="http://schemas.openxmlformats.org/officeDocument/2006/relationships" r:id="R1285ca9a00aa44a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53" hidden="0" customWidth="1"/>
    <x:col min="4" max="4" width="62" hidden="0" customWidth="1"/>
    <x:col min="5" max="5" width="19" hidden="0" customWidth="1"/>
    <x:col min="6" max="6" width="19" hidden="0" customWidth="1"/>
    <x:col min="7" max="7" width="25" hidden="0" customWidth="1"/>
    <x:col min="8" max="8" width="56" hidden="0" customWidth="1"/>
  </x:cols>
  <x:sheetData>
    <x:row r="1" ht="34" customHeight="1">
      <x:c r="A1" s="3" t="str">
        <x:v>MATURITY STAGE GATES — UNLOCK, NEVER REPLACE</x:v>
      </x:c>
      <x:c r="B1" s="3" t="str">
        <x:v>MATURITY STAGE GATES — UNLOCK, NEVER REPLACE</x:v>
      </x:c>
      <x:c r="C1" s="3" t="str">
        <x:v>MATURITY STAGE GATES — UNLOCK, NEVER REPLACE</x:v>
      </x:c>
      <x:c r="D1" s="3" t="str">
        <x:v>MATURITY STAGE GATES — UNLOCK, NEVER REPLACE</x:v>
      </x:c>
      <x:c r="E1" s="3" t="str">
        <x:v>MATURITY STAGE GATES — UNLOCK, NEVER REPLACE</x:v>
      </x:c>
      <x:c r="F1" s="3" t="str">
        <x:v>MATURITY STAGE GATES — UNLOCK, NEVER REPLACE</x:v>
      </x:c>
      <x:c r="G1" s="3" t="str">
        <x:v>MATURITY STAGE GATES — UNLOCK, NEVER REPLACE</x:v>
      </x:c>
      <x:c r="H1" s="3" t="str">
        <x:v>MATURITY STAGE GATES — UNLOCK, NEVER REPLACE</x:v>
      </x:c>
    </x:row>
    <x:row r="2" ht="34" customHeight="1">
      <x:c r="A2" s="3" t="str">
        <x:v>MATURITY STAGE GATES — UNLOCK, NEVER REPLACE</x:v>
      </x:c>
      <x:c r="B2" s="3" t="str">
        <x:v>MATURITY STAGE GATES — UNLOCK, NEVER REPLACE</x:v>
      </x:c>
      <x:c r="C2" s="3" t="str">
        <x:v>MATURITY STAGE GATES — UNLOCK, NEVER REPLACE</x:v>
      </x:c>
      <x:c r="D2" s="3" t="str">
        <x:v>MATURITY STAGE GATES — UNLOCK, NEVER REPLACE</x:v>
      </x:c>
      <x:c r="E2" s="3" t="str">
        <x:v>MATURITY STAGE GATES — UNLOCK, NEVER REPLACE</x:v>
      </x:c>
      <x:c r="F2" s="3" t="str">
        <x:v>MATURITY STAGE GATES — UNLOCK, NEVER REPLACE</x:v>
      </x:c>
      <x:c r="G2" s="3" t="str">
        <x:v>MATURITY STAGE GATES — UNLOCK, NEVER REPLACE</x:v>
      </x:c>
      <x:c r="H2" s="3" t="str">
        <x:v>MATURITY STAGE GATES — UNLOCK, NEVER REPLACE</x:v>
      </x:c>
    </x:row>
    <x:row r="4" ht="28" customHeight="1">
      <x:c r="A4" s="21" t="str">
        <x:v>Stage #</x:v>
      </x:c>
      <x:c r="B4" s="34" t="str">
        <x:v>Stage</x:v>
      </x:c>
      <x:c r="C4" s="34" t="str">
        <x:v>Purpose</x:v>
      </x:c>
      <x:c r="D4" s="34" t="str">
        <x:v>Unlock Rule</x:v>
      </x:c>
      <x:c r="E4" s="34" t="str">
        <x:v>Release</x:v>
      </x:c>
      <x:c r="F4" s="34" t="str">
        <x:v>Core or Gated</x:v>
      </x:c>
      <x:c r="G4" s="34" t="str">
        <x:v>Features Enabled Cumulatively</x:v>
      </x:c>
      <x:c r="H4" s="22" t="str">
        <x:v>Implementation Note</x:v>
      </x:c>
    </x:row>
    <x:row r="5" ht="58" customHeight="1">
      <x:c r="A5" s="65" t="n">
        <x:v>1</x:v>
      </x:c>
      <x:c r="B5" s="68" t="str">
        <x:v>Surviving</x:v>
      </x:c>
      <x:c r="C5" s="51" t="str">
        <x:v>Prevent collapse and protect life: essentials, immediate risks, minimum education, and legal identity.</x:v>
      </x:c>
      <x:c r="D5" s="51" t="str">
        <x:v>Always enabled. This is the emergency and essentials layer for every home.</x:v>
      </x:c>
      <x:c r="E5" s="51" t="str">
        <x:v>MVP Core</x:v>
      </x:c>
      <x:c r="F5" s="51" t="str">
        <x:v>Permanent core</x:v>
      </x:c>
      <x:c r="G5" s="113" t="n">
        <x:v>49</x:v>
      </x:c>
      <x:c r="H5" s="52" t="str">
        <x:v>Visible by default. Setup can be gradual.</x:v>
      </x:c>
    </x:row>
    <x:row r="6" ht="58" customHeight="1">
      <x:c r="A6" s="66" t="n">
        <x:v>2</x:v>
      </x:c>
      <x:c r="B6" s="69" t="str">
        <x:v>Living</x:v>
      </x:c>
      <x:c r="C6" s="54" t="str">
        <x:v>Create a reliable, healthy, organized household with predictable routines and basic comfort.</x:v>
      </x:c>
      <x:c r="D6" s="54" t="str">
        <x:v>Always enabled with Surviving. Most standard home-management features live here.</x:v>
      </x:c>
      <x:c r="E6" s="54" t="str">
        <x:v>MVP Core</x:v>
      </x:c>
      <x:c r="F6" s="54" t="str">
        <x:v>Permanent core</x:v>
      </x:c>
      <x:c r="G6" s="114" t="n">
        <x:v>98</x:v>
      </x:c>
      <x:c r="H6" s="55" t="str">
        <x:v>Visible by default. Setup can be gradual.</x:v>
      </x:c>
    </x:row>
    <x:row r="7" ht="58" customHeight="1">
      <x:c r="A7" s="66" t="n">
        <x:v>3</x:v>
      </x:c>
      <x:c r="B7" s="69" t="str">
        <x:v>Thinking</x:v>
      </x:c>
      <x:c r="C7" s="54" t="str">
        <x:v>Become intentional: understand patterns and allow children to develop naturally rather than forcing one template.</x:v>
      </x:c>
      <x:c r="D7" s="54" t="str">
        <x:v>Unlock when Surviving and Living essentials are stable, current, and not repeatedly in crisis.</x:v>
      </x:c>
      <x:c r="E7" s="54" t="str">
        <x:v>Growth Pack</x:v>
      </x:c>
      <x:c r="F7" s="54" t="str">
        <x:v>Readiness-gated</x:v>
      </x:c>
      <x:c r="G7" s="114" t="n">
        <x:v>147</x:v>
      </x:c>
      <x:c r="H7" s="55" t="str">
        <x:v>Feature flag can be set per home and per domain; unlocking is cumulative and reversible.</x:v>
      </x:c>
    </x:row>
    <x:row r="8" ht="58" customHeight="1">
      <x:c r="A8" s="66" t="n">
        <x:v>4</x:v>
      </x:c>
      <x:c r="B8" s="69" t="str">
        <x:v>Expressing</x:v>
      </x:c>
      <x:c r="C8" s="54" t="str">
        <x:v>Participate visibly in society and community through creativity, service, culture, collaboration, and citizenship.</x:v>
      </x:c>
      <x:c r="D8" s="54" t="str">
        <x:v>Unlock when the home has reflective capacity, healthy autonomy, and spare time for outward participation.</x:v>
      </x:c>
      <x:c r="E8" s="54" t="str">
        <x:v>Community Pack</x:v>
      </x:c>
      <x:c r="F8" s="54" t="str">
        <x:v>Readiness-gated</x:v>
      </x:c>
      <x:c r="G8" s="114" t="n">
        <x:v>196</x:v>
      </x:c>
      <x:c r="H8" s="55" t="str">
        <x:v>Feature flag can be set per home and per domain; unlocking is cumulative and reversible.</x:v>
      </x:c>
    </x:row>
    <x:row r="9" ht="58" customHeight="1">
      <x:c r="A9" s="66" t="n">
        <x:v>5</x:v>
      </x:c>
      <x:c r="B9" s="69" t="str">
        <x:v>Thriving</x:v>
      </x:c>
      <x:c r="C9" s="54" t="str">
        <x:v>Create surplus capability and lead sustained efforts for causes larger than the household.</x:v>
      </x:c>
      <x:c r="D9" s="54" t="str">
        <x:v>Unlock when community participation is sustained and the home has surplus health, money, time, skills, and trust.</x:v>
      </x:c>
      <x:c r="E9" s="54" t="str">
        <x:v>Leadership Pack</x:v>
      </x:c>
      <x:c r="F9" s="54" t="str">
        <x:v>Readiness-gated</x:v>
      </x:c>
      <x:c r="G9" s="114" t="n">
        <x:v>245</x:v>
      </x:c>
      <x:c r="H9" s="55" t="str">
        <x:v>Feature flag can be set per home and per domain; unlocking is cumulative and reversible.</x:v>
      </x:c>
    </x:row>
    <x:row r="10" ht="58" customHeight="1">
      <x:c r="A10" s="66" t="n">
        <x:v>6</x:v>
      </x:c>
      <x:c r="B10" s="69" t="str">
        <x:v>Yielding</x:v>
      </x:c>
      <x:c r="C10" s="54" t="str">
        <x:v>Generate multigenerational returns: grandchildren, health, wealth, wisdom, care capacity, and family renewal.</x:v>
      </x:c>
      <x:c r="D10" s="54" t="str">
        <x:v>Unlock when Thriving is durable and the next generation freely chooses multigenerational participation.</x:v>
      </x:c>
      <x:c r="E10" s="54" t="str">
        <x:v>Generational Pack</x:v>
      </x:c>
      <x:c r="F10" s="54" t="str">
        <x:v>Readiness-gated</x:v>
      </x:c>
      <x:c r="G10" s="114" t="n">
        <x:v>294</x:v>
      </x:c>
      <x:c r="H10" s="55" t="str">
        <x:v>Feature flag can be set per home and per domain; unlocking is cumulative and reversible.</x:v>
      </x:c>
    </x:row>
    <x:row r="11" ht="58" customHeight="1">
      <x:c r="A11" s="67" t="n">
        <x:v>7</x:v>
      </x:c>
      <x:c r="B11" s="70" t="str">
        <x:v>Fulfilling</x:v>
      </x:c>
      <x:c r="C11" s="57" t="str">
        <x:v>Fulfil family purpose through enduring contributions to community, country, humanity, and future generations.</x:v>
      </x:c>
      <x:c r="D11" s="57" t="str">
        <x:v>Unlock when Yielding has stable succession, legitimate governance, public trust, and a purpose beyond family status.</x:v>
      </x:c>
      <x:c r="E11" s="57" t="str">
        <x:v>Legacy Pack</x:v>
      </x:c>
      <x:c r="F11" s="57" t="str">
        <x:v>Readiness-gated</x:v>
      </x:c>
      <x:c r="G11" s="115" t="n">
        <x:v>343</x:v>
      </x:c>
      <x:c r="H11" s="58" t="str">
        <x:v>Feature flag can be set per home and per domain; unlocking is cumulative and reversible.</x:v>
      </x:c>
    </x:row>
  </x:sheetData>
  <x:mergeCells>
    <x:mergeCell ref="A1:H2"/>
  </x:mergeCells>
  <x:pageMargins left="0.7" right="0.7" top="0.75" bottom="0.75" header="0.3" footer="0.3"/>
</x:worksheet>
</file>